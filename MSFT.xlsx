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04e0a1f984d549/Documents/Personal/Project/"/>
    </mc:Choice>
  </mc:AlternateContent>
  <xr:revisionPtr revIDLastSave="109" documentId="8_{E9B217C5-0110-498D-9DF6-C26D6C126DFC}" xr6:coauthVersionLast="47" xr6:coauthVersionMax="47" xr10:uidLastSave="{5E218ABA-004E-4AD7-B826-7AC5EBD32877}"/>
  <bookViews>
    <workbookView xWindow="-108" yWindow="-108" windowWidth="23256" windowHeight="12456" xr2:uid="{C51E1810-2F45-42C0-BAEC-5B824BE89F90}"/>
  </bookViews>
  <sheets>
    <sheet name="Quaterly Data" sheetId="1" r:id="rId1"/>
    <sheet name="Segment Data" sheetId="2" r:id="rId2"/>
    <sheet name="Annual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2" l="1"/>
  <c r="L12" i="2"/>
  <c r="L11" i="2"/>
  <c r="L10" i="2"/>
  <c r="L9" i="2"/>
  <c r="L8" i="2"/>
  <c r="L7" i="2"/>
  <c r="L6" i="2"/>
  <c r="L5" i="2"/>
  <c r="L4" i="2"/>
  <c r="L3" i="2"/>
  <c r="L2" i="2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A3" i="1"/>
</calcChain>
</file>

<file path=xl/sharedStrings.xml><?xml version="1.0" encoding="utf-8"?>
<sst xmlns="http://schemas.openxmlformats.org/spreadsheetml/2006/main" count="153" uniqueCount="109">
  <si>
    <t xml:space="preserve">   Service and other</t>
  </si>
  <si>
    <t xml:space="preserve">      Total revenue</t>
  </si>
  <si>
    <t xml:space="preserve">   Product</t>
  </si>
  <si>
    <t xml:space="preserve">      Total cost of revenue</t>
  </si>
  <si>
    <t xml:space="preserve">      Gross margin</t>
  </si>
  <si>
    <t xml:space="preserve">Research and development </t>
  </si>
  <si>
    <t>Sales and marketing</t>
  </si>
  <si>
    <t xml:space="preserve">General and administrative </t>
  </si>
  <si>
    <t>Impairment and restructuring</t>
  </si>
  <si>
    <t>Operating income</t>
  </si>
  <si>
    <t>Other income (expense), net</t>
  </si>
  <si>
    <t>Income before income taxes</t>
  </si>
  <si>
    <t>Provision for (benefit from) income taxes</t>
  </si>
  <si>
    <t xml:space="preserve">   Basic</t>
  </si>
  <si>
    <t xml:space="preserve">   Diluted</t>
  </si>
  <si>
    <t>Q1-24</t>
  </si>
  <si>
    <t>Q2-24</t>
  </si>
  <si>
    <t>Q3-24</t>
  </si>
  <si>
    <t>Q4-24</t>
  </si>
  <si>
    <t>Q1-25</t>
  </si>
  <si>
    <t>Q2-25</t>
  </si>
  <si>
    <t>Q3-25</t>
  </si>
  <si>
    <t>Q4-25</t>
  </si>
  <si>
    <t>Q1-26</t>
  </si>
  <si>
    <t>Revenue</t>
  </si>
  <si>
    <t>Server products and cloud services</t>
  </si>
  <si>
    <t>Microsoft 365 Commercial products and cloud services</t>
  </si>
  <si>
    <t>Gaming</t>
  </si>
  <si>
    <t>LinkedIn</t>
  </si>
  <si>
    <t>Windows and Devices</t>
  </si>
  <si>
    <t>Search and news advertising</t>
  </si>
  <si>
    <t>Microsoft 365 Consumer products and cloud services</t>
  </si>
  <si>
    <t>Dynamics products and cloud services</t>
  </si>
  <si>
    <t>Enterprise and partner services</t>
  </si>
  <si>
    <t xml:space="preserve">Other </t>
  </si>
  <si>
    <t xml:space="preserve">  Total</t>
  </si>
  <si>
    <t>Fiscal Year 2024</t>
  </si>
  <si>
    <t>Fiscal Year 2025</t>
  </si>
  <si>
    <t>Fiscal Year 2026</t>
  </si>
  <si>
    <t>Provision for income taxes</t>
  </si>
  <si>
    <t>Net income</t>
  </si>
  <si>
    <t>FY16</t>
  </si>
  <si>
    <t xml:space="preserve">$67,336 </t>
  </si>
  <si>
    <t xml:space="preserve">$20,539 </t>
  </si>
  <si>
    <t xml:space="preserve">$2.59 </t>
  </si>
  <si>
    <t xml:space="preserve">$2.56 </t>
  </si>
  <si>
    <t>FY17</t>
  </si>
  <si>
    <t xml:space="preserve"> $63,811 </t>
  </si>
  <si>
    <t xml:space="preserve"> $25,489 </t>
  </si>
  <si>
    <t xml:space="preserve"> $3.29 </t>
  </si>
  <si>
    <t xml:space="preserve"> $3.25 </t>
  </si>
  <si>
    <t>FY18</t>
  </si>
  <si>
    <t xml:space="preserve"> $64,497 </t>
  </si>
  <si>
    <t xml:space="preserve"> $16,571 </t>
  </si>
  <si>
    <t xml:space="preserve"> $2.15 </t>
  </si>
  <si>
    <t xml:space="preserve"> $2.13 </t>
  </si>
  <si>
    <t>FY19</t>
  </si>
  <si>
    <t xml:space="preserve"> $66,069 </t>
  </si>
  <si>
    <t xml:space="preserve"> $39,240 </t>
  </si>
  <si>
    <t xml:space="preserve"> $5.11 </t>
  </si>
  <si>
    <t xml:space="preserve"> $5.06 </t>
  </si>
  <si>
    <t>FY20</t>
  </si>
  <si>
    <t xml:space="preserve"> $68,041 </t>
  </si>
  <si>
    <t xml:space="preserve"> $44,281 </t>
  </si>
  <si>
    <t xml:space="preserve"> $5.82 </t>
  </si>
  <si>
    <t xml:space="preserve"> $5.76 </t>
  </si>
  <si>
    <t>FY21</t>
  </si>
  <si>
    <t xml:space="preserve"> $71,074 </t>
  </si>
  <si>
    <t xml:space="preserve"> $61,271 </t>
  </si>
  <si>
    <t xml:space="preserve"> $8.12 </t>
  </si>
  <si>
    <t xml:space="preserve"> $8.05 </t>
  </si>
  <si>
    <t>FY22</t>
  </si>
  <si>
    <t xml:space="preserve"> $72,732 </t>
  </si>
  <si>
    <t xml:space="preserve"> $72,738 </t>
  </si>
  <si>
    <t xml:space="preserve"> $9.70 </t>
  </si>
  <si>
    <t xml:space="preserve"> $9.65 </t>
  </si>
  <si>
    <t>FY23</t>
  </si>
  <si>
    <t xml:space="preserve"> $64,699 </t>
  </si>
  <si>
    <t xml:space="preserve"> $72,361 </t>
  </si>
  <si>
    <t xml:space="preserve"> $9.72 </t>
  </si>
  <si>
    <t xml:space="preserve"> $9.68 </t>
  </si>
  <si>
    <t>FY24</t>
  </si>
  <si>
    <t xml:space="preserve"> $64,773 </t>
  </si>
  <si>
    <t xml:space="preserve"> $88,136 </t>
  </si>
  <si>
    <t xml:space="preserve"> $11.86 </t>
  </si>
  <si>
    <t xml:space="preserve"> $11.80 </t>
  </si>
  <si>
    <t>FY25</t>
  </si>
  <si>
    <t xml:space="preserve"> $63,946 </t>
  </si>
  <si>
    <t xml:space="preserve"> $101,832 </t>
  </si>
  <si>
    <t xml:space="preserve"> $13.70 </t>
  </si>
  <si>
    <t xml:space="preserve"> $13.64 </t>
  </si>
  <si>
    <t>Quarter</t>
  </si>
  <si>
    <t>Product Revenue</t>
  </si>
  <si>
    <t>Service Revenue</t>
  </si>
  <si>
    <t>Total Revenue</t>
  </si>
  <si>
    <t>Product Cost</t>
  </si>
  <si>
    <t>Service Cost</t>
  </si>
  <si>
    <t>Total Cost</t>
  </si>
  <si>
    <t>Gross Profit</t>
  </si>
  <si>
    <t>Net Profit</t>
  </si>
  <si>
    <t>Annual</t>
  </si>
  <si>
    <t>Q1</t>
  </si>
  <si>
    <t>Q2</t>
  </si>
  <si>
    <t>Q3</t>
  </si>
  <si>
    <t>Q4</t>
  </si>
  <si>
    <t>Research and development</t>
  </si>
  <si>
    <t>General and administrative</t>
  </si>
  <si>
    <t>Basic</t>
  </si>
  <si>
    <t>Diluted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</si>
</sst>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666666"/>
      <name val="Segoe UI"/>
      <family val="2"/>
    </font>
    <font>
      <b/>
      <sz val="10"/>
      <color rgb="FF66666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right" wrapText="1"/>
    </xf>
    <xf numFmtId="2" fontId="1" fillId="0" borderId="0" xfId="0" applyNumberFormat="1" applyFont="1"/>
    <xf numFmtId="2" fontId="1" fillId="0" borderId="3" xfId="0" applyNumberFormat="1" applyFont="1" applyBorder="1"/>
    <xf numFmtId="0" fontId="2" fillId="2" borderId="2" xfId="0" applyFont="1" applyFill="1" applyBorder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3" fontId="1" fillId="0" borderId="0" xfId="0" applyNumberFormat="1" applyFont="1"/>
    <xf numFmtId="3" fontId="1" fillId="0" borderId="4" xfId="0" applyNumberFormat="1" applyFont="1" applyBorder="1"/>
    <xf numFmtId="3" fontId="1" fillId="0" borderId="2" xfId="0" applyNumberFormat="1" applyFont="1" applyBorder="1"/>
    <xf numFmtId="3" fontId="1" fillId="0" borderId="5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2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0" fontId="1" fillId="2" borderId="6" xfId="0" applyFont="1" applyFill="1" applyBorder="1"/>
    <xf numFmtId="2" fontId="1" fillId="0" borderId="6" xfId="0" applyNumberFormat="1" applyFont="1" applyBorder="1"/>
    <xf numFmtId="0" fontId="2" fillId="2" borderId="7" xfId="0" applyFont="1" applyFill="1" applyBorder="1" applyAlignment="1">
      <alignment horizontal="right"/>
    </xf>
    <xf numFmtId="2" fontId="1" fillId="0" borderId="7" xfId="0" applyNumberFormat="1" applyFont="1" applyBorder="1" applyAlignment="1">
      <alignment horizontal="right"/>
    </xf>
    <xf numFmtId="2" fontId="1" fillId="0" borderId="7" xfId="0" applyNumberFormat="1" applyFont="1" applyBorder="1"/>
    <xf numFmtId="2" fontId="1" fillId="0" borderId="8" xfId="0" applyNumberFormat="1" applyFont="1" applyBorder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fill>
        <patternFill patternType="solid">
          <fgColor rgb="FF000000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Segoe UI"/>
        <family val="2"/>
        <scheme val="none"/>
      </font>
      <fill>
        <patternFill patternType="solid">
          <fgColor rgb="FF000000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9A495-CED8-4E31-BD57-7028F0F45055}" name="Table1" displayName="Table1" ref="A1:T42" totalsRowShown="0" headerRowDxfId="0" dataDxfId="1" tableBorderDxfId="22">
  <autoFilter ref="A1:T42" xr:uid="{4919A495-CED8-4E31-BD57-7028F0F45055}"/>
  <tableColumns count="20">
    <tableColumn id="1" xr3:uid="{DDB9605A-F50D-4BDC-A22D-45712C337A71}" name="Annual" dataDxfId="21"/>
    <tableColumn id="2" xr3:uid="{89758926-C8F9-40A7-B6F5-CF85C73F6BA2}" name="Quarter" dataDxfId="20"/>
    <tableColumn id="3" xr3:uid="{EBDDF57E-E2D5-47B7-B9A9-D6E12B4F1F77}" name="Product Revenue" dataDxfId="19"/>
    <tableColumn id="4" xr3:uid="{F8449CFA-5DA7-4AA9-9076-7B1F17A8087D}" name="Service Revenue" dataDxfId="18"/>
    <tableColumn id="5" xr3:uid="{97D24981-3552-4971-9A49-A78152C50B99}" name="Total Revenue" dataDxfId="17"/>
    <tableColumn id="6" xr3:uid="{47AB7BE5-1477-44A9-BE7B-94F74220A91A}" name="Product Cost" dataDxfId="16"/>
    <tableColumn id="7" xr3:uid="{4E5B1533-9E43-407F-8789-29A85F84DC34}" name="Service Cost" dataDxfId="15"/>
    <tableColumn id="8" xr3:uid="{CEBBA945-EE60-40FF-8829-08495EA34EBE}" name="Total Cost" dataDxfId="14"/>
    <tableColumn id="9" xr3:uid="{C63E703C-F0CB-4BC8-9293-002C91BE2B5E}" name="Gross Profit" dataDxfId="13"/>
    <tableColumn id="10" xr3:uid="{B544033B-F688-4F44-AE40-853E0F5C1460}" name="Research and development" dataDxfId="12"/>
    <tableColumn id="11" xr3:uid="{4D2C8E84-A6B6-4AE3-8438-1EE82115F40B}" name="Sales and marketing" dataDxfId="11"/>
    <tableColumn id="12" xr3:uid="{3EEFFB5B-D5BD-4112-A629-141FB78BC67F}" name="General and administrative" dataDxfId="10"/>
    <tableColumn id="13" xr3:uid="{16B5B065-E8AD-4AA5-AB64-363444180D55}" name="Impairment and restructuring" dataDxfId="9"/>
    <tableColumn id="14" xr3:uid="{1A73B8F8-79A4-4669-BAD2-9AC61B1AC041}" name="Operating income" dataDxfId="8"/>
    <tableColumn id="15" xr3:uid="{9E60E2CA-30C5-43BF-963A-8E614CF08177}" name="Other income (expense), net" dataDxfId="7"/>
    <tableColumn id="16" xr3:uid="{2458EA80-8AC3-4589-BB73-1B6579AD6B15}" name="Income before income taxes" dataDxfId="6"/>
    <tableColumn id="17" xr3:uid="{D7476E2C-61CA-4E2C-B61D-39C889CB495E}" name="Provision for (benefit from) income taxes" dataDxfId="5"/>
    <tableColumn id="18" xr3:uid="{3EFC0799-3648-4594-AC1E-6E99EEB51DF2}" name="Net Profit" dataDxfId="4">
      <calculatedColumnFormula>P2-Q2</calculatedColumnFormula>
    </tableColumn>
    <tableColumn id="19" xr3:uid="{0A144B47-CFF9-42FA-9D4D-EEBBBABBFD71}" name="Basic" dataDxfId="3"/>
    <tableColumn id="20" xr3:uid="{9BD3C307-A76B-4879-B786-0336AA28C4CB}" name="Dilut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F407-8A27-4014-9F6B-BAF371DF413A}">
  <dimension ref="A1:T42"/>
  <sheetViews>
    <sheetView tabSelected="1" workbookViewId="0">
      <selection activeCell="A2" sqref="A2"/>
    </sheetView>
  </sheetViews>
  <sheetFormatPr defaultRowHeight="14.4" x14ac:dyDescent="0.3"/>
  <cols>
    <col min="2" max="2" width="9.21875" customWidth="1"/>
    <col min="3" max="3" width="17.88671875" customWidth="1"/>
    <col min="4" max="4" width="17.21875" customWidth="1"/>
    <col min="5" max="5" width="15.44140625" customWidth="1"/>
    <col min="6" max="6" width="14.33203125" customWidth="1"/>
    <col min="7" max="7" width="13.6640625" customWidth="1"/>
    <col min="8" max="8" width="11.88671875" customWidth="1"/>
    <col min="9" max="9" width="13.33203125" customWidth="1"/>
    <col min="10" max="10" width="27.44140625" customWidth="1"/>
    <col min="11" max="11" width="21.109375" customWidth="1"/>
    <col min="12" max="12" width="27.5546875" customWidth="1"/>
    <col min="13" max="13" width="29.5546875" customWidth="1"/>
    <col min="14" max="14" width="19" customWidth="1"/>
    <col min="15" max="15" width="28" customWidth="1"/>
    <col min="16" max="16" width="27.88671875" customWidth="1"/>
    <col min="17" max="17" width="39.6640625" customWidth="1"/>
    <col min="18" max="18" width="11.77734375" customWidth="1"/>
    <col min="19" max="19" width="9" customWidth="1"/>
    <col min="20" max="20" width="11.21875" customWidth="1"/>
  </cols>
  <sheetData>
    <row r="1" spans="1:20" ht="15" x14ac:dyDescent="0.35">
      <c r="A1" t="s">
        <v>100</v>
      </c>
      <c r="B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105</v>
      </c>
      <c r="K1" s="1" t="s">
        <v>6</v>
      </c>
      <c r="L1" s="1" t="s">
        <v>106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99</v>
      </c>
      <c r="S1" s="1" t="s">
        <v>107</v>
      </c>
      <c r="T1" s="22" t="s">
        <v>108</v>
      </c>
    </row>
    <row r="2" spans="1:20" ht="15" x14ac:dyDescent="0.35">
      <c r="A2" s="2">
        <v>2016</v>
      </c>
      <c r="B2" s="2" t="s">
        <v>101</v>
      </c>
      <c r="C2" s="20">
        <v>15750</v>
      </c>
      <c r="D2" s="21">
        <v>5160</v>
      </c>
      <c r="E2" s="21">
        <v>20910</v>
      </c>
      <c r="F2" s="21">
        <v>4035</v>
      </c>
      <c r="G2" s="21">
        <v>3172</v>
      </c>
      <c r="H2" s="21">
        <v>7207</v>
      </c>
      <c r="I2" s="21">
        <v>13703</v>
      </c>
      <c r="J2" s="21">
        <v>2962</v>
      </c>
      <c r="K2" s="21">
        <v>3341</v>
      </c>
      <c r="L2" s="21">
        <v>1084</v>
      </c>
      <c r="M2" s="21">
        <v>0</v>
      </c>
      <c r="N2" s="21">
        <v>6316</v>
      </c>
      <c r="O2" s="21">
        <v>-295</v>
      </c>
      <c r="P2" s="21">
        <v>6021</v>
      </c>
      <c r="Q2" s="21">
        <v>952</v>
      </c>
      <c r="R2" s="21">
        <f t="shared" ref="R2:R42" si="0">P2-Q2</f>
        <v>5069</v>
      </c>
      <c r="S2" s="21">
        <v>0.63</v>
      </c>
      <c r="T2" s="23">
        <v>0.63</v>
      </c>
    </row>
    <row r="3" spans="1:20" ht="15" x14ac:dyDescent="0.35">
      <c r="A3" s="2">
        <f>2000 + RIGHT(A2,2)</f>
        <v>2016</v>
      </c>
      <c r="B3" s="2" t="s">
        <v>102</v>
      </c>
      <c r="C3" s="20">
        <v>19431</v>
      </c>
      <c r="D3" s="21">
        <v>5822</v>
      </c>
      <c r="E3" s="21">
        <v>25253</v>
      </c>
      <c r="F3" s="21">
        <v>6268</v>
      </c>
      <c r="G3" s="21">
        <v>3604</v>
      </c>
      <c r="H3" s="21">
        <v>9872</v>
      </c>
      <c r="I3" s="21">
        <v>15381</v>
      </c>
      <c r="J3" s="21">
        <v>2900</v>
      </c>
      <c r="K3" s="21">
        <v>3954</v>
      </c>
      <c r="L3" s="21">
        <v>1038</v>
      </c>
      <c r="M3" s="21">
        <v>0</v>
      </c>
      <c r="N3" s="21">
        <v>7489</v>
      </c>
      <c r="O3" s="21">
        <v>-176</v>
      </c>
      <c r="P3" s="21">
        <v>7313</v>
      </c>
      <c r="Q3" s="21">
        <v>1375</v>
      </c>
      <c r="R3" s="21">
        <f t="shared" si="0"/>
        <v>5938</v>
      </c>
      <c r="S3" s="21">
        <v>0.75</v>
      </c>
      <c r="T3" s="23">
        <v>0.74</v>
      </c>
    </row>
    <row r="4" spans="1:20" ht="15" x14ac:dyDescent="0.35">
      <c r="A4" s="2">
        <v>2016</v>
      </c>
      <c r="B4" s="2" t="s">
        <v>103</v>
      </c>
      <c r="C4" s="20">
        <v>15307</v>
      </c>
      <c r="D4" s="21">
        <v>6210</v>
      </c>
      <c r="E4" s="21">
        <v>21517</v>
      </c>
      <c r="F4" s="21">
        <v>3801</v>
      </c>
      <c r="G4" s="21">
        <v>3921</v>
      </c>
      <c r="H4" s="21">
        <v>7722</v>
      </c>
      <c r="I4" s="21">
        <v>13795</v>
      </c>
      <c r="J4" s="21">
        <v>2980</v>
      </c>
      <c r="K4" s="21">
        <v>3398</v>
      </c>
      <c r="L4" s="21">
        <v>1140</v>
      </c>
      <c r="M4" s="21">
        <v>0</v>
      </c>
      <c r="N4" s="21">
        <v>6277</v>
      </c>
      <c r="O4" s="21">
        <v>-212</v>
      </c>
      <c r="P4" s="21">
        <v>6065</v>
      </c>
      <c r="Q4" s="21">
        <v>1760</v>
      </c>
      <c r="R4" s="21">
        <f t="shared" si="0"/>
        <v>4305</v>
      </c>
      <c r="S4" s="21">
        <v>0.55000000000000004</v>
      </c>
      <c r="T4" s="23">
        <v>0.54</v>
      </c>
    </row>
    <row r="5" spans="1:20" ht="15" x14ac:dyDescent="0.35">
      <c r="A5" s="2">
        <v>2016</v>
      </c>
      <c r="B5" s="2" t="s">
        <v>104</v>
      </c>
      <c r="C5" s="20">
        <v>16848</v>
      </c>
      <c r="D5" s="21">
        <v>6626</v>
      </c>
      <c r="E5" s="21">
        <v>23474</v>
      </c>
      <c r="F5" s="21">
        <v>3776</v>
      </c>
      <c r="G5" s="21">
        <v>4203</v>
      </c>
      <c r="H5" s="21">
        <v>7979</v>
      </c>
      <c r="I5" s="21">
        <v>15495</v>
      </c>
      <c r="J5" s="21">
        <v>3146</v>
      </c>
      <c r="K5" s="21">
        <v>3942</v>
      </c>
      <c r="L5" s="21">
        <v>1301</v>
      </c>
      <c r="M5" s="21">
        <v>1110</v>
      </c>
      <c r="N5" s="21">
        <v>5996</v>
      </c>
      <c r="O5" s="21">
        <v>244</v>
      </c>
      <c r="P5" s="21">
        <v>6240</v>
      </c>
      <c r="Q5" s="21">
        <v>1013</v>
      </c>
      <c r="R5" s="21">
        <f t="shared" si="0"/>
        <v>5227</v>
      </c>
      <c r="S5" s="21">
        <v>0.67</v>
      </c>
      <c r="T5" s="23">
        <v>0.66</v>
      </c>
    </row>
    <row r="6" spans="1:20" ht="15" x14ac:dyDescent="0.35">
      <c r="A6" s="2">
        <v>2017</v>
      </c>
      <c r="B6" s="2" t="s">
        <v>101</v>
      </c>
      <c r="C6" s="20">
        <v>14968</v>
      </c>
      <c r="D6" s="21">
        <v>6960</v>
      </c>
      <c r="E6" s="21">
        <v>21928</v>
      </c>
      <c r="F6" s="21">
        <v>3581</v>
      </c>
      <c r="G6" s="21">
        <v>4263</v>
      </c>
      <c r="H6" s="21">
        <v>7844</v>
      </c>
      <c r="I6" s="21">
        <v>14084</v>
      </c>
      <c r="J6" s="21">
        <v>3106</v>
      </c>
      <c r="K6" s="21">
        <v>3218</v>
      </c>
      <c r="L6" s="21">
        <v>1045</v>
      </c>
      <c r="M6" s="21">
        <v>0</v>
      </c>
      <c r="N6" s="21">
        <v>6715</v>
      </c>
      <c r="O6" s="21">
        <v>112</v>
      </c>
      <c r="P6" s="21">
        <v>6827</v>
      </c>
      <c r="Q6" s="21">
        <v>1160</v>
      </c>
      <c r="R6" s="21">
        <f t="shared" si="0"/>
        <v>5667</v>
      </c>
      <c r="S6" s="21">
        <v>0.73</v>
      </c>
      <c r="T6" s="23">
        <v>0.72</v>
      </c>
    </row>
    <row r="7" spans="1:20" ht="15" x14ac:dyDescent="0.35">
      <c r="A7" s="2">
        <v>2017</v>
      </c>
      <c r="B7" s="2" t="s">
        <v>102</v>
      </c>
      <c r="C7" s="20">
        <v>18273</v>
      </c>
      <c r="D7" s="21">
        <v>7553</v>
      </c>
      <c r="E7" s="21">
        <v>25826</v>
      </c>
      <c r="F7" s="21">
        <v>5378</v>
      </c>
      <c r="G7" s="21">
        <v>4523</v>
      </c>
      <c r="H7" s="21">
        <v>9901</v>
      </c>
      <c r="I7" s="21">
        <v>15925</v>
      </c>
      <c r="J7" s="21">
        <v>3062</v>
      </c>
      <c r="K7" s="21">
        <v>4079</v>
      </c>
      <c r="L7" s="21">
        <v>879</v>
      </c>
      <c r="M7" s="21">
        <v>0</v>
      </c>
      <c r="N7" s="21">
        <v>7905</v>
      </c>
      <c r="O7" s="21">
        <v>117</v>
      </c>
      <c r="P7" s="21">
        <v>8022</v>
      </c>
      <c r="Q7" s="21">
        <v>1755</v>
      </c>
      <c r="R7" s="21">
        <f t="shared" si="0"/>
        <v>6267</v>
      </c>
      <c r="S7" s="21">
        <v>0.81</v>
      </c>
      <c r="T7" s="23">
        <v>0.8</v>
      </c>
    </row>
    <row r="8" spans="1:20" ht="15" x14ac:dyDescent="0.35">
      <c r="A8" s="2">
        <v>2017</v>
      </c>
      <c r="B8" s="2" t="s">
        <v>103</v>
      </c>
      <c r="C8" s="20">
        <v>14513</v>
      </c>
      <c r="D8" s="21">
        <v>8699</v>
      </c>
      <c r="E8" s="21">
        <v>23212</v>
      </c>
      <c r="F8" s="21">
        <v>3075</v>
      </c>
      <c r="G8" s="21">
        <v>4985</v>
      </c>
      <c r="H8" s="21">
        <v>8060</v>
      </c>
      <c r="I8" s="21">
        <v>15152</v>
      </c>
      <c r="J8" s="21">
        <v>3355</v>
      </c>
      <c r="K8" s="21">
        <v>3872</v>
      </c>
      <c r="L8" s="21">
        <v>1202</v>
      </c>
      <c r="M8" s="21">
        <v>0</v>
      </c>
      <c r="N8" s="21">
        <v>6723</v>
      </c>
      <c r="O8" s="21">
        <v>371</v>
      </c>
      <c r="P8" s="21">
        <v>7094</v>
      </c>
      <c r="Q8" s="21">
        <v>1608</v>
      </c>
      <c r="R8" s="21">
        <f t="shared" si="0"/>
        <v>5486</v>
      </c>
      <c r="S8" s="21">
        <v>0.71</v>
      </c>
      <c r="T8" s="23">
        <v>0.7</v>
      </c>
    </row>
    <row r="9" spans="1:20" ht="15" x14ac:dyDescent="0.35">
      <c r="A9" s="2">
        <v>2017</v>
      </c>
      <c r="B9" s="2" t="s">
        <v>104</v>
      </c>
      <c r="C9" s="20">
        <v>16057</v>
      </c>
      <c r="D9" s="21">
        <v>9548</v>
      </c>
      <c r="E9" s="21">
        <v>25605</v>
      </c>
      <c r="F9" s="21">
        <v>3141</v>
      </c>
      <c r="G9" s="21">
        <v>5315</v>
      </c>
      <c r="H9" s="21">
        <v>8456</v>
      </c>
      <c r="I9" s="21">
        <v>17149</v>
      </c>
      <c r="J9" s="21">
        <v>3514</v>
      </c>
      <c r="K9" s="21">
        <v>4292</v>
      </c>
      <c r="L9" s="21">
        <v>1355</v>
      </c>
      <c r="M9" s="21">
        <v>306</v>
      </c>
      <c r="N9" s="21">
        <v>7682</v>
      </c>
      <c r="O9" s="21">
        <v>276</v>
      </c>
      <c r="P9" s="21">
        <v>7958</v>
      </c>
      <c r="Q9" s="21">
        <v>-111</v>
      </c>
      <c r="R9" s="21">
        <f t="shared" si="0"/>
        <v>8069</v>
      </c>
      <c r="S9" s="21">
        <v>1.05</v>
      </c>
      <c r="T9" s="23">
        <v>1.03</v>
      </c>
    </row>
    <row r="10" spans="1:20" ht="15" x14ac:dyDescent="0.35">
      <c r="A10" s="2">
        <v>2018</v>
      </c>
      <c r="B10" s="2" t="s">
        <v>101</v>
      </c>
      <c r="C10" s="20">
        <v>14298</v>
      </c>
      <c r="D10" s="21">
        <v>10240</v>
      </c>
      <c r="E10" s="21">
        <v>24538</v>
      </c>
      <c r="F10" s="21">
        <v>2980</v>
      </c>
      <c r="G10" s="21">
        <v>5298</v>
      </c>
      <c r="H10" s="21">
        <v>8278</v>
      </c>
      <c r="I10" s="21">
        <v>16260</v>
      </c>
      <c r="J10" s="21">
        <v>3574</v>
      </c>
      <c r="K10" s="21">
        <v>3812</v>
      </c>
      <c r="L10" s="21">
        <v>1166</v>
      </c>
      <c r="M10" s="21">
        <v>0</v>
      </c>
      <c r="N10" s="21">
        <v>7708</v>
      </c>
      <c r="O10" s="21">
        <v>276</v>
      </c>
      <c r="P10" s="21">
        <v>7984</v>
      </c>
      <c r="Q10" s="21">
        <v>1408</v>
      </c>
      <c r="R10" s="21">
        <f t="shared" si="0"/>
        <v>6576</v>
      </c>
      <c r="S10" s="21">
        <v>0.85</v>
      </c>
      <c r="T10" s="23">
        <v>0.84</v>
      </c>
    </row>
    <row r="11" spans="1:20" ht="15" x14ac:dyDescent="0.35">
      <c r="A11" s="2">
        <v>2018</v>
      </c>
      <c r="B11" s="2" t="s">
        <v>102</v>
      </c>
      <c r="C11" s="20">
        <v>17926</v>
      </c>
      <c r="D11" s="21">
        <v>10992</v>
      </c>
      <c r="E11" s="21">
        <v>28918</v>
      </c>
      <c r="F11" s="21">
        <v>5498</v>
      </c>
      <c r="G11" s="21">
        <v>5566</v>
      </c>
      <c r="H11" s="21">
        <v>11064</v>
      </c>
      <c r="I11" s="21">
        <v>17854</v>
      </c>
      <c r="J11" s="21">
        <v>3504</v>
      </c>
      <c r="K11" s="21">
        <v>4562</v>
      </c>
      <c r="L11" s="21">
        <v>1109</v>
      </c>
      <c r="M11" s="21">
        <v>0</v>
      </c>
      <c r="N11" s="21">
        <v>8679</v>
      </c>
      <c r="O11" s="21">
        <v>490</v>
      </c>
      <c r="P11" s="21">
        <v>9169</v>
      </c>
      <c r="Q11" s="21">
        <v>15471</v>
      </c>
      <c r="R11" s="21">
        <f t="shared" si="0"/>
        <v>-6302</v>
      </c>
      <c r="S11" s="21">
        <v>-0.82</v>
      </c>
      <c r="T11" s="23">
        <v>-0.82</v>
      </c>
    </row>
    <row r="12" spans="1:20" ht="15" x14ac:dyDescent="0.35">
      <c r="A12" s="2">
        <v>2018</v>
      </c>
      <c r="B12" s="2" t="s">
        <v>103</v>
      </c>
      <c r="C12" s="20">
        <v>15114</v>
      </c>
      <c r="D12" s="21">
        <v>11705</v>
      </c>
      <c r="E12" s="21">
        <v>26819</v>
      </c>
      <c r="F12" s="21">
        <v>3425</v>
      </c>
      <c r="G12" s="21">
        <v>5844</v>
      </c>
      <c r="H12" s="21">
        <v>9269</v>
      </c>
      <c r="I12" s="21">
        <v>17550</v>
      </c>
      <c r="J12" s="21">
        <v>3715</v>
      </c>
      <c r="K12" s="21">
        <v>4335</v>
      </c>
      <c r="L12" s="21">
        <v>1208</v>
      </c>
      <c r="M12" s="21">
        <v>0</v>
      </c>
      <c r="N12" s="21">
        <v>8292</v>
      </c>
      <c r="O12" s="21">
        <v>349</v>
      </c>
      <c r="P12" s="21">
        <v>8641</v>
      </c>
      <c r="Q12" s="21">
        <v>1217</v>
      </c>
      <c r="R12" s="21">
        <f t="shared" si="0"/>
        <v>7424</v>
      </c>
      <c r="S12" s="21">
        <v>0.96</v>
      </c>
      <c r="T12" s="23">
        <v>0.95</v>
      </c>
    </row>
    <row r="13" spans="1:20" ht="15" x14ac:dyDescent="0.35">
      <c r="A13" s="2">
        <v>2018</v>
      </c>
      <c r="B13" s="2" t="s">
        <v>104</v>
      </c>
      <c r="C13" s="20">
        <v>17159</v>
      </c>
      <c r="D13" s="21">
        <v>12926</v>
      </c>
      <c r="E13" s="21">
        <v>30085</v>
      </c>
      <c r="F13" s="21">
        <v>3517</v>
      </c>
      <c r="G13" s="21">
        <v>6225</v>
      </c>
      <c r="H13" s="21">
        <v>9742</v>
      </c>
      <c r="I13" s="21">
        <v>20343</v>
      </c>
      <c r="J13" s="21">
        <v>3933</v>
      </c>
      <c r="K13" s="21">
        <v>4760</v>
      </c>
      <c r="L13" s="21">
        <v>1271</v>
      </c>
      <c r="M13" s="21">
        <v>0</v>
      </c>
      <c r="N13" s="21">
        <v>10379</v>
      </c>
      <c r="O13" s="21">
        <v>301</v>
      </c>
      <c r="P13" s="21">
        <v>10680</v>
      </c>
      <c r="Q13" s="21">
        <v>1807</v>
      </c>
      <c r="R13" s="21">
        <f t="shared" si="0"/>
        <v>8873</v>
      </c>
      <c r="S13" s="21">
        <v>1.1499999999999999</v>
      </c>
      <c r="T13" s="23">
        <v>1.1399999999999999</v>
      </c>
    </row>
    <row r="14" spans="1:20" ht="15" x14ac:dyDescent="0.35">
      <c r="A14" s="2">
        <v>2019</v>
      </c>
      <c r="B14" s="2" t="s">
        <v>101</v>
      </c>
      <c r="C14" s="20">
        <v>17299</v>
      </c>
      <c r="D14" s="21">
        <v>11785</v>
      </c>
      <c r="E14" s="21">
        <v>29084</v>
      </c>
      <c r="F14" s="21">
        <v>3649</v>
      </c>
      <c r="G14" s="21">
        <v>6256</v>
      </c>
      <c r="H14" s="21">
        <v>9905</v>
      </c>
      <c r="I14" s="21">
        <v>19179</v>
      </c>
      <c r="J14" s="21">
        <v>3977</v>
      </c>
      <c r="K14" s="21">
        <v>4098</v>
      </c>
      <c r="L14" s="21">
        <v>1149</v>
      </c>
      <c r="M14" s="21">
        <v>0</v>
      </c>
      <c r="N14" s="21">
        <v>9955</v>
      </c>
      <c r="O14" s="21">
        <v>266</v>
      </c>
      <c r="P14" s="21">
        <v>10221</v>
      </c>
      <c r="Q14" s="21">
        <v>1397</v>
      </c>
      <c r="R14" s="21">
        <f t="shared" si="0"/>
        <v>8824</v>
      </c>
      <c r="S14" s="21">
        <v>1.1499999999999999</v>
      </c>
      <c r="T14" s="23">
        <v>1.1399999999999999</v>
      </c>
    </row>
    <row r="15" spans="1:20" ht="15" x14ac:dyDescent="0.35">
      <c r="A15" s="2">
        <v>2019</v>
      </c>
      <c r="B15" s="2" t="s">
        <v>102</v>
      </c>
      <c r="C15" s="20">
        <v>16219</v>
      </c>
      <c r="D15" s="21">
        <v>16252</v>
      </c>
      <c r="E15" s="21">
        <v>32471</v>
      </c>
      <c r="F15" s="21">
        <v>5885</v>
      </c>
      <c r="G15" s="21">
        <v>6538</v>
      </c>
      <c r="H15" s="21">
        <v>12423</v>
      </c>
      <c r="I15" s="21">
        <v>20048</v>
      </c>
      <c r="J15" s="21">
        <v>4070</v>
      </c>
      <c r="K15" s="21">
        <v>4588</v>
      </c>
      <c r="L15" s="21">
        <v>1132</v>
      </c>
      <c r="M15" s="21">
        <v>0</v>
      </c>
      <c r="N15" s="21">
        <v>10258</v>
      </c>
      <c r="O15" s="21">
        <v>127</v>
      </c>
      <c r="P15" s="21">
        <v>10385</v>
      </c>
      <c r="Q15" s="21">
        <v>1965</v>
      </c>
      <c r="R15" s="21">
        <f t="shared" si="0"/>
        <v>8420</v>
      </c>
      <c r="S15" s="21">
        <v>1.0900000000000001</v>
      </c>
      <c r="T15" s="23">
        <v>1.08</v>
      </c>
    </row>
    <row r="16" spans="1:20" ht="15" x14ac:dyDescent="0.35">
      <c r="A16" s="2">
        <v>2019</v>
      </c>
      <c r="B16" s="2" t="s">
        <v>103</v>
      </c>
      <c r="C16" s="20">
        <v>15448</v>
      </c>
      <c r="D16" s="21">
        <v>15123</v>
      </c>
      <c r="E16" s="21">
        <v>30571</v>
      </c>
      <c r="F16" s="21">
        <v>3441</v>
      </c>
      <c r="G16" s="21">
        <v>6729</v>
      </c>
      <c r="H16" s="21">
        <v>10170</v>
      </c>
      <c r="I16" s="21">
        <v>20401</v>
      </c>
      <c r="J16" s="21">
        <v>4316</v>
      </c>
      <c r="K16" s="21">
        <v>4565</v>
      </c>
      <c r="L16" s="21">
        <v>1179</v>
      </c>
      <c r="M16" s="21">
        <v>0</v>
      </c>
      <c r="N16" s="21">
        <v>10341</v>
      </c>
      <c r="O16" s="21">
        <v>145</v>
      </c>
      <c r="P16" s="21">
        <v>10486</v>
      </c>
      <c r="Q16" s="21">
        <v>1677</v>
      </c>
      <c r="R16" s="21">
        <f t="shared" si="0"/>
        <v>8809</v>
      </c>
      <c r="S16" s="21">
        <v>1.1499999999999999</v>
      </c>
      <c r="T16" s="23">
        <v>1.1399999999999999</v>
      </c>
    </row>
    <row r="17" spans="1:20" ht="15" x14ac:dyDescent="0.35">
      <c r="A17" s="2">
        <v>2019</v>
      </c>
      <c r="B17" s="2" t="s">
        <v>104</v>
      </c>
      <c r="C17" s="20">
        <v>17103</v>
      </c>
      <c r="D17" s="21">
        <v>16614</v>
      </c>
      <c r="E17" s="21">
        <v>33717</v>
      </c>
      <c r="F17" s="21">
        <v>3298</v>
      </c>
      <c r="G17" s="21">
        <v>7114</v>
      </c>
      <c r="H17" s="21">
        <v>10412</v>
      </c>
      <c r="I17" s="21">
        <v>23305</v>
      </c>
      <c r="J17" s="21">
        <v>4513</v>
      </c>
      <c r="K17" s="21">
        <v>4962</v>
      </c>
      <c r="L17" s="21">
        <v>1425</v>
      </c>
      <c r="M17" s="21">
        <v>0</v>
      </c>
      <c r="N17" s="21">
        <v>12405</v>
      </c>
      <c r="O17" s="21">
        <v>191</v>
      </c>
      <c r="P17" s="21">
        <v>12596</v>
      </c>
      <c r="Q17" s="21">
        <v>-591</v>
      </c>
      <c r="R17" s="21">
        <f t="shared" si="0"/>
        <v>13187</v>
      </c>
      <c r="S17" s="21">
        <v>1.72</v>
      </c>
      <c r="T17" s="23">
        <v>1.71</v>
      </c>
    </row>
    <row r="18" spans="1:20" ht="15" x14ac:dyDescent="0.35">
      <c r="A18" s="2">
        <v>2020</v>
      </c>
      <c r="B18" s="2" t="s">
        <v>101</v>
      </c>
      <c r="C18" s="20">
        <v>15768</v>
      </c>
      <c r="D18" s="21">
        <v>17287</v>
      </c>
      <c r="E18" s="21">
        <v>33055</v>
      </c>
      <c r="F18" s="21">
        <v>3305</v>
      </c>
      <c r="G18" s="21">
        <v>7101</v>
      </c>
      <c r="H18" s="21">
        <v>10406</v>
      </c>
      <c r="I18" s="21">
        <v>22649</v>
      </c>
      <c r="J18" s="21">
        <v>4565</v>
      </c>
      <c r="K18" s="21">
        <v>4337</v>
      </c>
      <c r="L18" s="21">
        <v>1061</v>
      </c>
      <c r="M18" s="21">
        <v>0</v>
      </c>
      <c r="N18" s="21">
        <v>12686</v>
      </c>
      <c r="O18" s="21">
        <v>0</v>
      </c>
      <c r="P18" s="21">
        <v>12686</v>
      </c>
      <c r="Q18" s="21">
        <v>2008</v>
      </c>
      <c r="R18" s="21">
        <f t="shared" si="0"/>
        <v>10678</v>
      </c>
      <c r="S18" s="21">
        <v>1.4</v>
      </c>
      <c r="T18" s="23">
        <v>1.38</v>
      </c>
    </row>
    <row r="19" spans="1:20" ht="15" x14ac:dyDescent="0.35">
      <c r="A19" s="2">
        <v>2020</v>
      </c>
      <c r="B19" s="2" t="s">
        <v>102</v>
      </c>
      <c r="C19" s="20">
        <v>18255</v>
      </c>
      <c r="D19" s="21">
        <v>18651</v>
      </c>
      <c r="E19" s="21">
        <v>36906</v>
      </c>
      <c r="F19" s="21">
        <v>4966</v>
      </c>
      <c r="G19" s="21">
        <v>7392</v>
      </c>
      <c r="H19" s="21">
        <v>12358</v>
      </c>
      <c r="I19" s="21">
        <v>24548</v>
      </c>
      <c r="J19" s="21">
        <v>4603</v>
      </c>
      <c r="K19" s="21">
        <v>4933</v>
      </c>
      <c r="L19" s="21">
        <v>1121</v>
      </c>
      <c r="M19" s="21">
        <v>0</v>
      </c>
      <c r="N19" s="21">
        <v>13891</v>
      </c>
      <c r="O19" s="21">
        <v>194</v>
      </c>
      <c r="P19" s="21">
        <v>14085</v>
      </c>
      <c r="Q19" s="21">
        <v>2436</v>
      </c>
      <c r="R19" s="21">
        <f t="shared" si="0"/>
        <v>11649</v>
      </c>
      <c r="S19" s="21">
        <v>1.53</v>
      </c>
      <c r="T19" s="23">
        <v>1.51</v>
      </c>
    </row>
    <row r="20" spans="1:20" ht="15" x14ac:dyDescent="0.35">
      <c r="A20" s="2">
        <v>2020</v>
      </c>
      <c r="B20" s="2" t="s">
        <v>103</v>
      </c>
      <c r="C20" s="20">
        <v>15871</v>
      </c>
      <c r="D20" s="21">
        <v>19150</v>
      </c>
      <c r="E20" s="21">
        <v>35021</v>
      </c>
      <c r="F20" s="21">
        <v>3376</v>
      </c>
      <c r="G20" s="21">
        <v>7599</v>
      </c>
      <c r="H20" s="21">
        <v>10975</v>
      </c>
      <c r="I20" s="21">
        <v>24046</v>
      </c>
      <c r="J20" s="21">
        <v>4887</v>
      </c>
      <c r="K20" s="21">
        <v>4911</v>
      </c>
      <c r="L20" s="21">
        <v>1273</v>
      </c>
      <c r="M20" s="21">
        <v>0</v>
      </c>
      <c r="N20" s="21">
        <v>12975</v>
      </c>
      <c r="O20" s="21">
        <v>-132</v>
      </c>
      <c r="P20" s="21">
        <v>12843</v>
      </c>
      <c r="Q20" s="21">
        <v>2091</v>
      </c>
      <c r="R20" s="21">
        <f t="shared" si="0"/>
        <v>10752</v>
      </c>
      <c r="S20" s="21">
        <v>1.41</v>
      </c>
      <c r="T20" s="23">
        <v>1.4</v>
      </c>
    </row>
    <row r="21" spans="1:20" ht="15" x14ac:dyDescent="0.35">
      <c r="A21" s="2">
        <v>2020</v>
      </c>
      <c r="B21" s="2" t="s">
        <v>104</v>
      </c>
      <c r="C21" s="20">
        <v>18147</v>
      </c>
      <c r="D21" s="21">
        <v>19886</v>
      </c>
      <c r="E21" s="21">
        <v>38033</v>
      </c>
      <c r="F21" s="21">
        <v>4370</v>
      </c>
      <c r="G21" s="21">
        <v>7969</v>
      </c>
      <c r="H21" s="21">
        <v>12339</v>
      </c>
      <c r="I21" s="21">
        <v>25694</v>
      </c>
      <c r="J21" s="21">
        <v>5214</v>
      </c>
      <c r="K21" s="21">
        <v>5417</v>
      </c>
      <c r="L21" s="21">
        <v>1656</v>
      </c>
      <c r="M21" s="21">
        <v>0</v>
      </c>
      <c r="N21" s="21">
        <v>13407</v>
      </c>
      <c r="O21" s="21">
        <v>15</v>
      </c>
      <c r="P21" s="21">
        <v>13422</v>
      </c>
      <c r="Q21" s="21">
        <v>2220</v>
      </c>
      <c r="R21" s="21">
        <f t="shared" si="0"/>
        <v>11202</v>
      </c>
      <c r="S21" s="21">
        <v>1.48</v>
      </c>
      <c r="T21" s="23">
        <v>1.46</v>
      </c>
    </row>
    <row r="22" spans="1:20" ht="15" x14ac:dyDescent="0.35">
      <c r="A22" s="2">
        <v>2021</v>
      </c>
      <c r="B22" s="2" t="s">
        <v>101</v>
      </c>
      <c r="C22" s="20">
        <v>15803</v>
      </c>
      <c r="D22" s="21">
        <v>21351</v>
      </c>
      <c r="E22" s="21">
        <v>37154</v>
      </c>
      <c r="F22" s="21">
        <v>3597</v>
      </c>
      <c r="G22" s="21">
        <v>7405</v>
      </c>
      <c r="H22" s="21">
        <v>11002</v>
      </c>
      <c r="I22" s="21">
        <v>26152</v>
      </c>
      <c r="J22" s="21">
        <v>4926</v>
      </c>
      <c r="K22" s="21">
        <v>4231</v>
      </c>
      <c r="L22" s="21">
        <v>1119</v>
      </c>
      <c r="M22" s="21">
        <v>0</v>
      </c>
      <c r="N22" s="21">
        <v>15876</v>
      </c>
      <c r="O22" s="21">
        <v>248</v>
      </c>
      <c r="P22" s="21">
        <v>16124</v>
      </c>
      <c r="Q22" s="21">
        <v>2231</v>
      </c>
      <c r="R22" s="21">
        <f t="shared" si="0"/>
        <v>13893</v>
      </c>
      <c r="S22" s="21">
        <v>1.84</v>
      </c>
      <c r="T22" s="23">
        <v>1.82</v>
      </c>
    </row>
    <row r="23" spans="1:20" ht="15" x14ac:dyDescent="0.35">
      <c r="A23" s="2">
        <v>2021</v>
      </c>
      <c r="B23" s="2" t="s">
        <v>102</v>
      </c>
      <c r="C23" s="20">
        <v>19460</v>
      </c>
      <c r="D23" s="21">
        <v>23616</v>
      </c>
      <c r="E23" s="21">
        <v>43076</v>
      </c>
      <c r="F23" s="21">
        <v>6058</v>
      </c>
      <c r="G23" s="21">
        <v>8136</v>
      </c>
      <c r="H23" s="21">
        <v>14194</v>
      </c>
      <c r="I23" s="21">
        <v>28882</v>
      </c>
      <c r="J23" s="21">
        <v>4899</v>
      </c>
      <c r="K23" s="21">
        <v>4947</v>
      </c>
      <c r="L23" s="21">
        <v>1139</v>
      </c>
      <c r="M23" s="21">
        <v>0</v>
      </c>
      <c r="N23" s="21">
        <v>17897</v>
      </c>
      <c r="O23" s="21">
        <v>440</v>
      </c>
      <c r="P23" s="21">
        <v>18337</v>
      </c>
      <c r="Q23" s="21">
        <v>2874</v>
      </c>
      <c r="R23" s="21">
        <f t="shared" si="0"/>
        <v>15463</v>
      </c>
      <c r="S23" s="21">
        <v>2.0499999999999998</v>
      </c>
      <c r="T23" s="23">
        <v>2.0299999999999998</v>
      </c>
    </row>
    <row r="24" spans="1:20" ht="15" x14ac:dyDescent="0.35">
      <c r="A24" s="2">
        <v>2021</v>
      </c>
      <c r="B24" s="2" t="s">
        <v>103</v>
      </c>
      <c r="C24" s="20">
        <v>16873</v>
      </c>
      <c r="D24" s="21">
        <v>24833</v>
      </c>
      <c r="E24" s="21">
        <v>41706</v>
      </c>
      <c r="F24" s="21">
        <v>4277</v>
      </c>
      <c r="G24" s="21">
        <v>8768</v>
      </c>
      <c r="H24" s="21">
        <v>13045</v>
      </c>
      <c r="I24" s="21">
        <v>28661</v>
      </c>
      <c r="J24" s="21">
        <v>5204</v>
      </c>
      <c r="K24" s="21">
        <v>5082</v>
      </c>
      <c r="L24" s="21">
        <v>1327</v>
      </c>
      <c r="M24" s="21">
        <v>0</v>
      </c>
      <c r="N24" s="21">
        <v>17048</v>
      </c>
      <c r="O24" s="21">
        <v>188</v>
      </c>
      <c r="P24" s="21">
        <v>17236</v>
      </c>
      <c r="Q24" s="21">
        <v>1779</v>
      </c>
      <c r="R24" s="21">
        <f t="shared" si="0"/>
        <v>15457</v>
      </c>
      <c r="S24" s="21">
        <v>2.0499999999999998</v>
      </c>
      <c r="T24" s="23">
        <v>2.0299999999999998</v>
      </c>
    </row>
    <row r="25" spans="1:20" ht="15" x14ac:dyDescent="0.35">
      <c r="A25" s="2">
        <v>2021</v>
      </c>
      <c r="B25" s="2" t="s">
        <v>104</v>
      </c>
      <c r="C25" s="20">
        <v>18938</v>
      </c>
      <c r="D25" s="21">
        <v>27214</v>
      </c>
      <c r="E25" s="21">
        <v>46152</v>
      </c>
      <c r="F25" s="21">
        <v>4287</v>
      </c>
      <c r="G25" s="21">
        <v>9704</v>
      </c>
      <c r="H25" s="21">
        <v>13991</v>
      </c>
      <c r="I25" s="21">
        <v>32161</v>
      </c>
      <c r="J25" s="21">
        <v>5687</v>
      </c>
      <c r="K25" s="21">
        <v>5857</v>
      </c>
      <c r="L25" s="21">
        <v>1522</v>
      </c>
      <c r="M25" s="21">
        <v>0</v>
      </c>
      <c r="N25" s="21">
        <v>19095</v>
      </c>
      <c r="O25" s="21">
        <v>310</v>
      </c>
      <c r="P25" s="21">
        <v>19405</v>
      </c>
      <c r="Q25" s="21">
        <v>2947</v>
      </c>
      <c r="R25" s="21">
        <f t="shared" si="0"/>
        <v>16458</v>
      </c>
      <c r="S25" s="21">
        <v>2.19</v>
      </c>
      <c r="T25" s="23">
        <v>2.17</v>
      </c>
    </row>
    <row r="26" spans="1:20" ht="15" x14ac:dyDescent="0.35">
      <c r="A26" s="2">
        <v>2022</v>
      </c>
      <c r="B26" s="2" t="s">
        <v>101</v>
      </c>
      <c r="C26" s="20">
        <v>16631</v>
      </c>
      <c r="D26" s="21">
        <v>28686</v>
      </c>
      <c r="E26" s="21">
        <v>45317</v>
      </c>
      <c r="F26" s="21">
        <v>3792</v>
      </c>
      <c r="G26" s="21">
        <v>9854</v>
      </c>
      <c r="H26" s="21">
        <v>13646</v>
      </c>
      <c r="I26" s="21">
        <v>31671</v>
      </c>
      <c r="J26" s="21">
        <v>5599</v>
      </c>
      <c r="K26" s="21">
        <v>4547</v>
      </c>
      <c r="L26" s="21">
        <v>1287</v>
      </c>
      <c r="M26" s="21">
        <v>0</v>
      </c>
      <c r="N26" s="21">
        <v>20238</v>
      </c>
      <c r="O26" s="21">
        <v>286</v>
      </c>
      <c r="P26" s="21">
        <v>20524</v>
      </c>
      <c r="Q26" s="21">
        <v>19</v>
      </c>
      <c r="R26" s="21">
        <f t="shared" si="0"/>
        <v>20505</v>
      </c>
      <c r="S26" s="21">
        <v>2.73</v>
      </c>
      <c r="T26" s="23">
        <v>2.71</v>
      </c>
    </row>
    <row r="27" spans="1:20" ht="15" x14ac:dyDescent="0.35">
      <c r="A27" s="2">
        <v>2022</v>
      </c>
      <c r="B27" s="2" t="s">
        <v>102</v>
      </c>
      <c r="C27" s="20">
        <v>20779</v>
      </c>
      <c r="D27" s="21">
        <v>30949</v>
      </c>
      <c r="E27" s="21">
        <v>51728</v>
      </c>
      <c r="F27" s="21">
        <v>6331</v>
      </c>
      <c r="G27" s="21">
        <v>10629</v>
      </c>
      <c r="H27" s="21">
        <v>16960</v>
      </c>
      <c r="I27" s="21">
        <v>34768</v>
      </c>
      <c r="J27" s="21">
        <v>5758</v>
      </c>
      <c r="K27" s="21">
        <v>5379</v>
      </c>
      <c r="L27" s="21">
        <v>1384</v>
      </c>
      <c r="M27" s="21">
        <v>0</v>
      </c>
      <c r="N27" s="21">
        <v>22247</v>
      </c>
      <c r="O27" s="21">
        <v>268</v>
      </c>
      <c r="P27" s="21">
        <v>22515</v>
      </c>
      <c r="Q27" s="21">
        <v>3750</v>
      </c>
      <c r="R27" s="21">
        <f t="shared" si="0"/>
        <v>18765</v>
      </c>
      <c r="S27" s="21">
        <v>2.5</v>
      </c>
      <c r="T27" s="23">
        <v>2.48</v>
      </c>
    </row>
    <row r="28" spans="1:20" ht="15" x14ac:dyDescent="0.35">
      <c r="A28" s="2">
        <v>2022</v>
      </c>
      <c r="B28" s="2" t="s">
        <v>103</v>
      </c>
      <c r="C28" s="20">
        <v>17366</v>
      </c>
      <c r="D28" s="21">
        <v>31994</v>
      </c>
      <c r="E28" s="21">
        <v>49360</v>
      </c>
      <c r="F28" s="21">
        <v>4584</v>
      </c>
      <c r="G28" s="21">
        <v>11031</v>
      </c>
      <c r="H28" s="21">
        <v>15615</v>
      </c>
      <c r="I28" s="21">
        <v>33745</v>
      </c>
      <c r="J28" s="21">
        <v>6306</v>
      </c>
      <c r="K28" s="21">
        <v>5595</v>
      </c>
      <c r="L28" s="21">
        <v>1480</v>
      </c>
      <c r="M28" s="21">
        <v>0</v>
      </c>
      <c r="N28" s="21">
        <v>20364</v>
      </c>
      <c r="O28" s="21">
        <v>-174</v>
      </c>
      <c r="P28" s="21">
        <v>20190</v>
      </c>
      <c r="Q28" s="21">
        <v>3462</v>
      </c>
      <c r="R28" s="21">
        <f t="shared" si="0"/>
        <v>16728</v>
      </c>
      <c r="S28" s="21">
        <v>2.23</v>
      </c>
      <c r="T28" s="23">
        <v>2.2200000000000002</v>
      </c>
    </row>
    <row r="29" spans="1:20" ht="15" x14ac:dyDescent="0.35">
      <c r="A29" s="2">
        <v>2022</v>
      </c>
      <c r="B29" s="2" t="s">
        <v>104</v>
      </c>
      <c r="C29" s="20">
        <v>17956</v>
      </c>
      <c r="D29" s="21">
        <v>33909</v>
      </c>
      <c r="E29" s="21">
        <v>51865</v>
      </c>
      <c r="F29" s="21">
        <v>4357</v>
      </c>
      <c r="G29" s="21">
        <v>12072</v>
      </c>
      <c r="H29" s="21">
        <v>16429</v>
      </c>
      <c r="I29" s="21">
        <v>35436</v>
      </c>
      <c r="J29" s="21">
        <v>6849</v>
      </c>
      <c r="K29" s="21">
        <v>6304</v>
      </c>
      <c r="L29" s="21">
        <v>1749</v>
      </c>
      <c r="M29" s="21">
        <v>0</v>
      </c>
      <c r="N29" s="21">
        <v>20534</v>
      </c>
      <c r="O29" s="21">
        <v>-47</v>
      </c>
      <c r="P29" s="21">
        <v>20487</v>
      </c>
      <c r="Q29" s="21">
        <v>3747</v>
      </c>
      <c r="R29" s="21">
        <f t="shared" si="0"/>
        <v>16740</v>
      </c>
      <c r="S29" s="21">
        <v>2.2400000000000002</v>
      </c>
      <c r="T29" s="23">
        <v>2.23</v>
      </c>
    </row>
    <row r="30" spans="1:20" ht="15" x14ac:dyDescent="0.35">
      <c r="A30" s="2">
        <v>2023</v>
      </c>
      <c r="B30" s="2" t="s">
        <v>101</v>
      </c>
      <c r="C30" s="20">
        <v>15741</v>
      </c>
      <c r="D30" s="21">
        <v>34381</v>
      </c>
      <c r="E30" s="21">
        <v>50122</v>
      </c>
      <c r="F30" s="21">
        <v>4302</v>
      </c>
      <c r="G30" s="21">
        <v>11150</v>
      </c>
      <c r="H30" s="21">
        <v>15452</v>
      </c>
      <c r="I30" s="21">
        <v>34670</v>
      </c>
      <c r="J30" s="21">
        <v>6628</v>
      </c>
      <c r="K30" s="21">
        <v>5126</v>
      </c>
      <c r="L30" s="21">
        <v>1398</v>
      </c>
      <c r="M30" s="21">
        <v>0</v>
      </c>
      <c r="N30" s="21">
        <v>21518</v>
      </c>
      <c r="O30" s="21">
        <v>54</v>
      </c>
      <c r="P30" s="21">
        <v>21572</v>
      </c>
      <c r="Q30" s="21">
        <v>4016</v>
      </c>
      <c r="R30" s="21">
        <f t="shared" si="0"/>
        <v>17556</v>
      </c>
      <c r="S30" s="21">
        <v>2.35</v>
      </c>
      <c r="T30" s="23">
        <v>2.35</v>
      </c>
    </row>
    <row r="31" spans="1:20" ht="15" x14ac:dyDescent="0.35">
      <c r="A31" s="2">
        <v>2023</v>
      </c>
      <c r="B31" s="2" t="s">
        <v>102</v>
      </c>
      <c r="C31" s="20">
        <v>16517</v>
      </c>
      <c r="D31" s="21">
        <v>36230</v>
      </c>
      <c r="E31" s="21">
        <v>52747</v>
      </c>
      <c r="F31" s="21">
        <v>5690</v>
      </c>
      <c r="G31" s="21">
        <v>11798</v>
      </c>
      <c r="H31" s="21">
        <v>17488</v>
      </c>
      <c r="I31" s="21">
        <v>35259</v>
      </c>
      <c r="J31" s="21">
        <v>6844</v>
      </c>
      <c r="K31" s="21">
        <v>5679</v>
      </c>
      <c r="L31" s="21">
        <v>2337</v>
      </c>
      <c r="M31" s="21">
        <v>0</v>
      </c>
      <c r="N31" s="21">
        <v>20399</v>
      </c>
      <c r="O31" s="21">
        <v>-60</v>
      </c>
      <c r="P31" s="21">
        <v>20339</v>
      </c>
      <c r="Q31" s="21">
        <v>3914</v>
      </c>
      <c r="R31" s="21">
        <f t="shared" si="0"/>
        <v>16425</v>
      </c>
      <c r="S31" s="21">
        <v>2.2000000000000002</v>
      </c>
      <c r="T31" s="23">
        <v>2.2000000000000002</v>
      </c>
    </row>
    <row r="32" spans="1:20" ht="15" x14ac:dyDescent="0.35">
      <c r="A32" s="2">
        <v>2023</v>
      </c>
      <c r="B32" s="2" t="s">
        <v>103</v>
      </c>
      <c r="C32" s="20">
        <v>15588</v>
      </c>
      <c r="D32" s="21">
        <v>37269</v>
      </c>
      <c r="E32" s="21">
        <v>52857</v>
      </c>
      <c r="F32" s="21">
        <v>3941</v>
      </c>
      <c r="G32" s="21">
        <v>12187</v>
      </c>
      <c r="H32" s="21">
        <v>16128</v>
      </c>
      <c r="I32" s="21">
        <v>36729</v>
      </c>
      <c r="J32" s="21">
        <v>6984</v>
      </c>
      <c r="K32" s="21">
        <v>5750</v>
      </c>
      <c r="L32" s="21">
        <v>1643</v>
      </c>
      <c r="M32" s="21">
        <v>0</v>
      </c>
      <c r="N32" s="21">
        <v>22352</v>
      </c>
      <c r="O32" s="21">
        <v>321</v>
      </c>
      <c r="P32" s="21">
        <v>22673</v>
      </c>
      <c r="Q32" s="21">
        <v>4374</v>
      </c>
      <c r="R32" s="21">
        <f t="shared" si="0"/>
        <v>18299</v>
      </c>
      <c r="S32" s="21">
        <v>2.46</v>
      </c>
      <c r="T32" s="23">
        <v>2.4500000000000002</v>
      </c>
    </row>
    <row r="33" spans="1:20" ht="15" x14ac:dyDescent="0.35">
      <c r="A33" s="2">
        <v>2023</v>
      </c>
      <c r="B33" s="2" t="s">
        <v>104</v>
      </c>
      <c r="C33" s="20">
        <v>16853</v>
      </c>
      <c r="D33" s="21">
        <v>39336</v>
      </c>
      <c r="E33" s="21">
        <v>56189</v>
      </c>
      <c r="F33" s="21">
        <v>3871</v>
      </c>
      <c r="G33" s="21">
        <v>12924</v>
      </c>
      <c r="H33" s="21">
        <v>16795</v>
      </c>
      <c r="I33" s="21">
        <v>39394</v>
      </c>
      <c r="J33" s="21">
        <v>6739</v>
      </c>
      <c r="K33" s="21">
        <v>6204</v>
      </c>
      <c r="L33" s="21">
        <v>2197</v>
      </c>
      <c r="M33" s="21">
        <v>0</v>
      </c>
      <c r="N33" s="21">
        <v>24254</v>
      </c>
      <c r="O33" s="21">
        <v>473</v>
      </c>
      <c r="P33" s="21">
        <v>24727</v>
      </c>
      <c r="Q33" s="21">
        <v>4646</v>
      </c>
      <c r="R33" s="21">
        <f t="shared" si="0"/>
        <v>20081</v>
      </c>
      <c r="S33" s="21">
        <v>2.7</v>
      </c>
      <c r="T33" s="23">
        <v>2.69</v>
      </c>
    </row>
    <row r="34" spans="1:20" ht="15" x14ac:dyDescent="0.35">
      <c r="A34" s="2">
        <v>2024</v>
      </c>
      <c r="B34" s="2" t="s">
        <v>101</v>
      </c>
      <c r="C34" s="20">
        <v>15535</v>
      </c>
      <c r="D34" s="21">
        <v>40982</v>
      </c>
      <c r="E34" s="21">
        <v>56517</v>
      </c>
      <c r="F34" s="21">
        <v>3531</v>
      </c>
      <c r="G34" s="21">
        <v>12771</v>
      </c>
      <c r="H34" s="21">
        <v>16302</v>
      </c>
      <c r="I34" s="21">
        <v>40215</v>
      </c>
      <c r="J34" s="21">
        <v>6659</v>
      </c>
      <c r="K34" s="21">
        <v>5187</v>
      </c>
      <c r="L34" s="21">
        <v>1474</v>
      </c>
      <c r="M34" s="21">
        <v>0</v>
      </c>
      <c r="N34" s="21">
        <v>26895</v>
      </c>
      <c r="O34" s="21">
        <v>389</v>
      </c>
      <c r="P34" s="21">
        <v>27284</v>
      </c>
      <c r="Q34" s="21">
        <v>4993</v>
      </c>
      <c r="R34" s="21">
        <f t="shared" si="0"/>
        <v>22291</v>
      </c>
      <c r="S34" s="21">
        <v>3</v>
      </c>
      <c r="T34" s="23">
        <v>2.99</v>
      </c>
    </row>
    <row r="35" spans="1:20" ht="15" x14ac:dyDescent="0.35">
      <c r="A35" s="2">
        <v>2024</v>
      </c>
      <c r="B35" s="2" t="s">
        <v>102</v>
      </c>
      <c r="C35" s="20">
        <v>18941</v>
      </c>
      <c r="D35" s="21">
        <v>43079</v>
      </c>
      <c r="E35" s="21">
        <v>62020</v>
      </c>
      <c r="F35" s="21">
        <v>5964</v>
      </c>
      <c r="G35" s="21">
        <v>13659</v>
      </c>
      <c r="H35" s="21">
        <v>19623</v>
      </c>
      <c r="I35" s="21">
        <v>42397</v>
      </c>
      <c r="J35" s="21">
        <v>7142</v>
      </c>
      <c r="K35" s="21">
        <v>6246</v>
      </c>
      <c r="L35" s="21">
        <v>1977</v>
      </c>
      <c r="M35" s="21">
        <v>0</v>
      </c>
      <c r="N35" s="21">
        <v>27032</v>
      </c>
      <c r="O35" s="21">
        <v>-506</v>
      </c>
      <c r="P35" s="21">
        <v>26526</v>
      </c>
      <c r="Q35" s="21">
        <v>4656</v>
      </c>
      <c r="R35" s="21">
        <f t="shared" si="0"/>
        <v>21870</v>
      </c>
      <c r="S35" s="21">
        <v>2.94</v>
      </c>
      <c r="T35" s="23">
        <v>2.93</v>
      </c>
    </row>
    <row r="36" spans="1:20" ht="15" x14ac:dyDescent="0.35">
      <c r="A36" s="2">
        <v>2024</v>
      </c>
      <c r="B36" s="2" t="s">
        <v>103</v>
      </c>
      <c r="C36" s="20">
        <v>17080</v>
      </c>
      <c r="D36" s="21">
        <v>44778</v>
      </c>
      <c r="E36" s="21">
        <v>61858</v>
      </c>
      <c r="F36" s="21">
        <v>4339</v>
      </c>
      <c r="G36" s="21">
        <v>14166</v>
      </c>
      <c r="H36" s="21">
        <v>18505</v>
      </c>
      <c r="I36" s="21">
        <v>43353</v>
      </c>
      <c r="J36" s="21">
        <v>7653</v>
      </c>
      <c r="K36" s="21">
        <v>6207</v>
      </c>
      <c r="L36" s="21">
        <v>1912</v>
      </c>
      <c r="M36" s="21">
        <v>0</v>
      </c>
      <c r="N36" s="21">
        <v>27581</v>
      </c>
      <c r="O36" s="21">
        <v>-854</v>
      </c>
      <c r="P36" s="21">
        <v>26727</v>
      </c>
      <c r="Q36" s="21">
        <v>4788</v>
      </c>
      <c r="R36" s="21">
        <f t="shared" si="0"/>
        <v>21939</v>
      </c>
      <c r="S36" s="21">
        <v>2.95</v>
      </c>
      <c r="T36" s="23">
        <v>2.94</v>
      </c>
    </row>
    <row r="37" spans="1:20" ht="15" x14ac:dyDescent="0.35">
      <c r="A37" s="2">
        <v>2024</v>
      </c>
      <c r="B37" s="2" t="s">
        <v>104</v>
      </c>
      <c r="C37" s="20">
        <v>13217</v>
      </c>
      <c r="D37" s="21">
        <v>51510</v>
      </c>
      <c r="E37" s="21">
        <v>64727</v>
      </c>
      <c r="F37" s="21">
        <v>1438</v>
      </c>
      <c r="G37" s="21">
        <v>18246</v>
      </c>
      <c r="H37" s="21">
        <v>19684</v>
      </c>
      <c r="I37" s="21">
        <v>45043</v>
      </c>
      <c r="J37" s="21">
        <v>8056</v>
      </c>
      <c r="K37" s="21">
        <v>6816</v>
      </c>
      <c r="L37" s="21">
        <v>2246</v>
      </c>
      <c r="M37" s="21">
        <v>0</v>
      </c>
      <c r="N37" s="21">
        <v>27925</v>
      </c>
      <c r="O37" s="21">
        <v>-675</v>
      </c>
      <c r="P37" s="21">
        <v>27250</v>
      </c>
      <c r="Q37" s="21">
        <v>5214</v>
      </c>
      <c r="R37" s="21">
        <f t="shared" si="0"/>
        <v>22036</v>
      </c>
      <c r="S37" s="21">
        <v>2.96</v>
      </c>
      <c r="T37" s="23">
        <v>2.95</v>
      </c>
    </row>
    <row r="38" spans="1:20" ht="15" x14ac:dyDescent="0.35">
      <c r="A38" s="2">
        <v>2025</v>
      </c>
      <c r="B38" s="2" t="s">
        <v>101</v>
      </c>
      <c r="C38" s="20">
        <v>15272</v>
      </c>
      <c r="D38" s="21">
        <v>50313</v>
      </c>
      <c r="E38" s="21">
        <v>65585</v>
      </c>
      <c r="F38" s="21">
        <v>3294</v>
      </c>
      <c r="G38" s="21">
        <v>16805</v>
      </c>
      <c r="H38" s="21">
        <v>20099</v>
      </c>
      <c r="I38" s="21">
        <v>45486</v>
      </c>
      <c r="J38" s="21">
        <v>7544</v>
      </c>
      <c r="K38" s="21">
        <v>5717</v>
      </c>
      <c r="L38" s="21">
        <v>1673</v>
      </c>
      <c r="M38" s="21">
        <v>0</v>
      </c>
      <c r="N38" s="21">
        <v>30552</v>
      </c>
      <c r="O38" s="21">
        <v>-283</v>
      </c>
      <c r="P38" s="21">
        <v>30269</v>
      </c>
      <c r="Q38" s="21">
        <v>5602</v>
      </c>
      <c r="R38" s="21">
        <f t="shared" si="0"/>
        <v>24667</v>
      </c>
      <c r="S38" s="21">
        <v>3.32</v>
      </c>
      <c r="T38" s="23">
        <v>3.3</v>
      </c>
    </row>
    <row r="39" spans="1:20" ht="15" x14ac:dyDescent="0.35">
      <c r="A39" s="2">
        <v>2025</v>
      </c>
      <c r="B39" s="2" t="s">
        <v>102</v>
      </c>
      <c r="C39" s="20">
        <v>16219</v>
      </c>
      <c r="D39" s="21">
        <v>53413</v>
      </c>
      <c r="E39" s="21">
        <v>69632</v>
      </c>
      <c r="F39" s="21">
        <v>3856</v>
      </c>
      <c r="G39" s="21">
        <v>17943</v>
      </c>
      <c r="H39" s="21">
        <v>21799</v>
      </c>
      <c r="I39" s="21">
        <v>47833</v>
      </c>
      <c r="J39" s="21">
        <v>7917</v>
      </c>
      <c r="K39" s="21">
        <v>6440</v>
      </c>
      <c r="L39" s="21">
        <v>1823</v>
      </c>
      <c r="M39" s="21">
        <v>0</v>
      </c>
      <c r="N39" s="21">
        <v>31653</v>
      </c>
      <c r="O39" s="21">
        <v>-2288</v>
      </c>
      <c r="P39" s="21">
        <v>29365</v>
      </c>
      <c r="Q39" s="21">
        <v>5257</v>
      </c>
      <c r="R39" s="21">
        <f t="shared" si="0"/>
        <v>24108</v>
      </c>
      <c r="S39" s="21">
        <v>3.24</v>
      </c>
      <c r="T39" s="23">
        <v>3.23</v>
      </c>
    </row>
    <row r="40" spans="1:20" ht="15" x14ac:dyDescent="0.35">
      <c r="A40" s="2">
        <v>2025</v>
      </c>
      <c r="B40" s="2" t="s">
        <v>103</v>
      </c>
      <c r="C40" s="20">
        <v>15319</v>
      </c>
      <c r="D40" s="21">
        <v>54747</v>
      </c>
      <c r="E40" s="21">
        <v>70066</v>
      </c>
      <c r="F40" s="21">
        <v>3037</v>
      </c>
      <c r="G40" s="21">
        <v>18882</v>
      </c>
      <c r="H40" s="21">
        <v>21919</v>
      </c>
      <c r="I40" s="21">
        <v>48147</v>
      </c>
      <c r="J40" s="21">
        <v>8198</v>
      </c>
      <c r="K40" s="21">
        <v>6212</v>
      </c>
      <c r="L40" s="21">
        <v>1737</v>
      </c>
      <c r="M40" s="21">
        <v>0</v>
      </c>
      <c r="N40" s="21">
        <v>32000</v>
      </c>
      <c r="O40" s="21">
        <v>-623</v>
      </c>
      <c r="P40" s="21">
        <v>31377</v>
      </c>
      <c r="Q40" s="21">
        <v>5553</v>
      </c>
      <c r="R40" s="21">
        <f t="shared" si="0"/>
        <v>25824</v>
      </c>
      <c r="S40" s="21">
        <v>3.47</v>
      </c>
      <c r="T40" s="23">
        <v>3.46</v>
      </c>
    </row>
    <row r="41" spans="1:20" ht="15" x14ac:dyDescent="0.35">
      <c r="A41" s="2">
        <v>2025</v>
      </c>
      <c r="B41" s="2" t="s">
        <v>104</v>
      </c>
      <c r="C41" s="20">
        <v>17136</v>
      </c>
      <c r="D41" s="21">
        <v>59305</v>
      </c>
      <c r="E41" s="21">
        <v>76441</v>
      </c>
      <c r="F41" s="21">
        <v>3314</v>
      </c>
      <c r="G41" s="21">
        <v>20700</v>
      </c>
      <c r="H41" s="21">
        <v>24014</v>
      </c>
      <c r="I41" s="21">
        <v>52427</v>
      </c>
      <c r="J41" s="21">
        <v>8829</v>
      </c>
      <c r="K41" s="21">
        <v>7285</v>
      </c>
      <c r="L41" s="21">
        <v>1990</v>
      </c>
      <c r="M41" s="21">
        <v>0</v>
      </c>
      <c r="N41" s="21">
        <v>34323</v>
      </c>
      <c r="O41" s="21">
        <v>-1707</v>
      </c>
      <c r="P41" s="21">
        <v>32616</v>
      </c>
      <c r="Q41" s="21">
        <v>5383</v>
      </c>
      <c r="R41" s="21">
        <f t="shared" si="0"/>
        <v>27233</v>
      </c>
      <c r="S41" s="21">
        <v>3.66</v>
      </c>
      <c r="T41" s="23">
        <v>3.65</v>
      </c>
    </row>
    <row r="42" spans="1:20" ht="15" x14ac:dyDescent="0.35">
      <c r="A42" s="24">
        <v>2026</v>
      </c>
      <c r="B42" s="24" t="s">
        <v>101</v>
      </c>
      <c r="C42" s="25">
        <v>15922</v>
      </c>
      <c r="D42" s="26">
        <v>61751</v>
      </c>
      <c r="E42" s="26">
        <v>77673</v>
      </c>
      <c r="F42" s="26">
        <v>2922</v>
      </c>
      <c r="G42" s="26">
        <v>21121</v>
      </c>
      <c r="H42" s="26">
        <v>24043</v>
      </c>
      <c r="I42" s="26">
        <v>53630</v>
      </c>
      <c r="J42" s="26">
        <v>8146</v>
      </c>
      <c r="K42" s="26">
        <v>5717</v>
      </c>
      <c r="L42" s="26">
        <v>1806</v>
      </c>
      <c r="M42" s="26">
        <v>0</v>
      </c>
      <c r="N42" s="26">
        <v>37961</v>
      </c>
      <c r="O42" s="26">
        <v>-3660</v>
      </c>
      <c r="P42" s="26">
        <v>34301</v>
      </c>
      <c r="Q42" s="26">
        <v>6554</v>
      </c>
      <c r="R42" s="26">
        <f t="shared" si="0"/>
        <v>27747</v>
      </c>
      <c r="S42" s="26">
        <v>3.73</v>
      </c>
      <c r="T42" s="27">
        <v>3.72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337A-B7E6-44AC-B082-78E314C08999}">
  <dimension ref="A1:L13"/>
  <sheetViews>
    <sheetView workbookViewId="0">
      <selection activeCell="B2" sqref="B2"/>
    </sheetView>
  </sheetViews>
  <sheetFormatPr defaultRowHeight="14.4" x14ac:dyDescent="0.3"/>
  <cols>
    <col min="12" max="12" width="9.44140625" bestFit="1" customWidth="1"/>
  </cols>
  <sheetData>
    <row r="1" spans="1:12" ht="15" x14ac:dyDescent="0.35">
      <c r="A1" s="3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5" t="s">
        <v>35</v>
      </c>
    </row>
    <row r="2" spans="1:12" ht="15.6" thickBot="1" x14ac:dyDescent="0.4">
      <c r="A2" s="6" t="s">
        <v>15</v>
      </c>
      <c r="B2" s="7">
        <v>18062</v>
      </c>
      <c r="C2" s="7">
        <v>18044</v>
      </c>
      <c r="D2" s="7">
        <v>3919</v>
      </c>
      <c r="E2" s="7">
        <v>3913</v>
      </c>
      <c r="F2" s="7">
        <v>4340</v>
      </c>
      <c r="G2" s="7">
        <v>3018</v>
      </c>
      <c r="H2" s="7">
        <v>1643</v>
      </c>
      <c r="I2" s="7">
        <v>1626</v>
      </c>
      <c r="J2" s="7">
        <v>1944</v>
      </c>
      <c r="K2" s="7">
        <v>8</v>
      </c>
      <c r="L2" s="8">
        <f t="shared" ref="L2:L13" si="0">SUM(B2:K2)</f>
        <v>56517</v>
      </c>
    </row>
    <row r="3" spans="1:12" ht="15.6" thickBot="1" x14ac:dyDescent="0.4">
      <c r="A3" s="6" t="s">
        <v>16</v>
      </c>
      <c r="B3" s="7">
        <v>19597</v>
      </c>
      <c r="C3" s="7">
        <v>18321</v>
      </c>
      <c r="D3" s="7">
        <v>7111</v>
      </c>
      <c r="E3" s="7">
        <v>4195</v>
      </c>
      <c r="F3" s="7">
        <v>4363</v>
      </c>
      <c r="G3" s="7">
        <v>3168</v>
      </c>
      <c r="H3" s="7">
        <v>1679</v>
      </c>
      <c r="I3" s="7">
        <v>1659</v>
      </c>
      <c r="J3" s="7">
        <v>1917</v>
      </c>
      <c r="K3" s="7">
        <v>10</v>
      </c>
      <c r="L3" s="8">
        <f t="shared" si="0"/>
        <v>62020</v>
      </c>
    </row>
    <row r="4" spans="1:12" ht="15.6" thickBot="1" x14ac:dyDescent="0.4">
      <c r="A4" s="6" t="s">
        <v>17</v>
      </c>
      <c r="B4" s="7">
        <v>20266</v>
      </c>
      <c r="C4" s="7">
        <v>19712</v>
      </c>
      <c r="D4" s="7">
        <v>5451</v>
      </c>
      <c r="E4" s="7">
        <v>4013</v>
      </c>
      <c r="F4" s="7">
        <v>4098</v>
      </c>
      <c r="G4" s="7">
        <v>3055</v>
      </c>
      <c r="H4" s="7">
        <v>1648</v>
      </c>
      <c r="I4" s="7">
        <v>1740</v>
      </c>
      <c r="J4" s="7">
        <v>1861</v>
      </c>
      <c r="K4" s="7">
        <v>14</v>
      </c>
      <c r="L4" s="8">
        <f t="shared" si="0"/>
        <v>61858</v>
      </c>
    </row>
    <row r="5" spans="1:12" ht="15.6" thickBot="1" x14ac:dyDescent="0.4">
      <c r="A5" s="6" t="s">
        <v>18</v>
      </c>
      <c r="B5" s="7">
        <v>21903</v>
      </c>
      <c r="C5" s="7">
        <v>20892</v>
      </c>
      <c r="D5" s="7">
        <v>5022</v>
      </c>
      <c r="E5" s="7">
        <v>4251</v>
      </c>
      <c r="F5" s="7">
        <v>4225</v>
      </c>
      <c r="G5" s="7">
        <v>3065</v>
      </c>
      <c r="H5" s="7">
        <v>1678</v>
      </c>
      <c r="I5" s="7">
        <v>1806</v>
      </c>
      <c r="J5" s="7">
        <v>1872</v>
      </c>
      <c r="K5" s="7">
        <v>13</v>
      </c>
      <c r="L5" s="8">
        <f t="shared" si="0"/>
        <v>64727</v>
      </c>
    </row>
    <row r="6" spans="1:12" ht="15.6" thickBot="1" x14ac:dyDescent="0.4">
      <c r="A6" s="9" t="s">
        <v>36</v>
      </c>
      <c r="B6" s="7">
        <v>79828</v>
      </c>
      <c r="C6" s="7">
        <v>76969</v>
      </c>
      <c r="D6" s="7">
        <v>21503</v>
      </c>
      <c r="E6" s="7">
        <v>16372</v>
      </c>
      <c r="F6" s="7">
        <v>17026</v>
      </c>
      <c r="G6" s="7">
        <v>12306</v>
      </c>
      <c r="H6" s="7">
        <v>6648</v>
      </c>
      <c r="I6" s="7">
        <v>6831</v>
      </c>
      <c r="J6" s="7">
        <v>7594</v>
      </c>
      <c r="K6" s="7">
        <v>45</v>
      </c>
      <c r="L6" s="8">
        <f t="shared" si="0"/>
        <v>245122</v>
      </c>
    </row>
    <row r="7" spans="1:12" ht="15.6" thickBot="1" x14ac:dyDescent="0.4">
      <c r="A7" s="6" t="s">
        <v>19</v>
      </c>
      <c r="B7" s="7">
        <v>22155</v>
      </c>
      <c r="C7" s="10">
        <v>20449</v>
      </c>
      <c r="D7" s="10">
        <v>5621</v>
      </c>
      <c r="E7" s="10">
        <v>4292</v>
      </c>
      <c r="F7" s="10">
        <v>4329</v>
      </c>
      <c r="G7" s="10">
        <v>3225</v>
      </c>
      <c r="H7" s="10">
        <v>1727</v>
      </c>
      <c r="I7" s="10">
        <v>1849</v>
      </c>
      <c r="J7" s="10">
        <v>1928</v>
      </c>
      <c r="K7" s="10">
        <v>10</v>
      </c>
      <c r="L7" s="8">
        <f t="shared" si="0"/>
        <v>65585</v>
      </c>
    </row>
    <row r="8" spans="1:12" ht="15.6" thickBot="1" x14ac:dyDescent="0.4">
      <c r="A8" s="6" t="s">
        <v>20</v>
      </c>
      <c r="B8" s="7">
        <v>23641</v>
      </c>
      <c r="C8" s="10">
        <v>21117</v>
      </c>
      <c r="D8" s="10">
        <v>6581</v>
      </c>
      <c r="E8" s="10">
        <v>4587</v>
      </c>
      <c r="F8" s="10">
        <v>4512</v>
      </c>
      <c r="G8" s="10">
        <v>3558</v>
      </c>
      <c r="H8" s="10">
        <v>1821</v>
      </c>
      <c r="I8" s="10">
        <v>1913</v>
      </c>
      <c r="J8" s="10">
        <v>1892</v>
      </c>
      <c r="K8" s="10">
        <v>10</v>
      </c>
      <c r="L8" s="8">
        <f t="shared" si="0"/>
        <v>69632</v>
      </c>
    </row>
    <row r="9" spans="1:12" ht="15.6" thickBot="1" x14ac:dyDescent="0.4">
      <c r="A9" s="6" t="s">
        <v>21</v>
      </c>
      <c r="B9" s="7">
        <v>24761</v>
      </c>
      <c r="C9" s="7">
        <v>21883</v>
      </c>
      <c r="D9" s="7">
        <v>5721</v>
      </c>
      <c r="E9" s="7">
        <v>4311</v>
      </c>
      <c r="F9" s="7">
        <v>4144</v>
      </c>
      <c r="G9" s="7">
        <v>3504</v>
      </c>
      <c r="H9" s="7">
        <v>1821</v>
      </c>
      <c r="I9" s="7">
        <v>1929</v>
      </c>
      <c r="J9" s="7">
        <v>1946</v>
      </c>
      <c r="K9" s="7">
        <v>46</v>
      </c>
      <c r="L9" s="8">
        <f t="shared" si="0"/>
        <v>70066</v>
      </c>
    </row>
    <row r="10" spans="1:12" ht="15.6" thickBot="1" x14ac:dyDescent="0.4">
      <c r="A10" s="6" t="s">
        <v>22</v>
      </c>
      <c r="B10" s="7">
        <v>27878</v>
      </c>
      <c r="C10" s="7">
        <v>24318</v>
      </c>
      <c r="D10" s="7">
        <v>5532</v>
      </c>
      <c r="E10" s="7">
        <v>4622</v>
      </c>
      <c r="F10" s="7">
        <v>4329</v>
      </c>
      <c r="G10" s="7">
        <v>3591</v>
      </c>
      <c r="H10" s="7">
        <v>2035</v>
      </c>
      <c r="I10" s="7">
        <v>2136</v>
      </c>
      <c r="J10" s="7">
        <v>1994</v>
      </c>
      <c r="K10" s="7">
        <v>6</v>
      </c>
      <c r="L10" s="8">
        <f t="shared" si="0"/>
        <v>76441</v>
      </c>
    </row>
    <row r="11" spans="1:12" ht="15.6" thickBot="1" x14ac:dyDescent="0.4">
      <c r="A11" s="11" t="s">
        <v>37</v>
      </c>
      <c r="B11" s="7">
        <v>98435</v>
      </c>
      <c r="C11" s="10">
        <v>87767</v>
      </c>
      <c r="D11" s="10">
        <v>23455</v>
      </c>
      <c r="E11" s="10">
        <v>17812</v>
      </c>
      <c r="F11" s="10">
        <v>17314</v>
      </c>
      <c r="G11" s="10">
        <v>13878</v>
      </c>
      <c r="H11" s="10">
        <v>7404</v>
      </c>
      <c r="I11" s="10">
        <v>7827</v>
      </c>
      <c r="J11" s="10">
        <v>7760</v>
      </c>
      <c r="K11" s="10">
        <v>72</v>
      </c>
      <c r="L11" s="8">
        <f t="shared" si="0"/>
        <v>281724</v>
      </c>
    </row>
    <row r="12" spans="1:12" ht="15.6" thickBot="1" x14ac:dyDescent="0.4">
      <c r="A12" s="6" t="s">
        <v>23</v>
      </c>
      <c r="B12" s="7">
        <v>28872</v>
      </c>
      <c r="C12" s="7">
        <v>23966</v>
      </c>
      <c r="D12" s="7">
        <v>5508</v>
      </c>
      <c r="E12" s="7">
        <v>4714</v>
      </c>
      <c r="F12" s="7">
        <v>4551</v>
      </c>
      <c r="G12" s="7">
        <v>3697</v>
      </c>
      <c r="H12" s="7">
        <v>2204</v>
      </c>
      <c r="I12" s="7">
        <v>2136</v>
      </c>
      <c r="J12" s="7">
        <v>2022</v>
      </c>
      <c r="K12" s="7">
        <v>3</v>
      </c>
      <c r="L12" s="8">
        <f t="shared" si="0"/>
        <v>77673</v>
      </c>
    </row>
    <row r="13" spans="1:12" ht="15.6" thickBot="1" x14ac:dyDescent="0.4">
      <c r="A13" s="9" t="s">
        <v>38</v>
      </c>
      <c r="B13" s="7">
        <v>28872</v>
      </c>
      <c r="C13" s="7">
        <v>23966</v>
      </c>
      <c r="D13" s="7">
        <v>5508</v>
      </c>
      <c r="E13" s="7">
        <v>4714</v>
      </c>
      <c r="F13" s="7">
        <v>4551</v>
      </c>
      <c r="G13" s="7">
        <v>3697</v>
      </c>
      <c r="H13" s="7">
        <v>2204</v>
      </c>
      <c r="I13" s="7">
        <v>2136</v>
      </c>
      <c r="J13" s="7">
        <v>2022</v>
      </c>
      <c r="K13" s="7">
        <v>3</v>
      </c>
      <c r="L13" s="8">
        <f t="shared" si="0"/>
        <v>77673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B85A-2808-49EE-B53C-7B804A279318}">
  <dimension ref="A1:S11"/>
  <sheetViews>
    <sheetView workbookViewId="0"/>
  </sheetViews>
  <sheetFormatPr defaultRowHeight="14.4" x14ac:dyDescent="0.3"/>
  <sheetData>
    <row r="1" spans="1:19" ht="15" x14ac:dyDescent="0.35">
      <c r="B1" s="4" t="s">
        <v>2</v>
      </c>
      <c r="C1" s="4" t="s">
        <v>0</v>
      </c>
      <c r="D1" s="4" t="s">
        <v>1</v>
      </c>
      <c r="E1" s="4" t="s">
        <v>2</v>
      </c>
      <c r="F1" s="4" t="s">
        <v>0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39</v>
      </c>
      <c r="Q1" s="4" t="s">
        <v>40</v>
      </c>
      <c r="R1" s="4" t="s">
        <v>13</v>
      </c>
      <c r="S1" s="4" t="s">
        <v>14</v>
      </c>
    </row>
    <row r="2" spans="1:19" ht="15.6" thickBot="1" x14ac:dyDescent="0.4">
      <c r="A2" s="9" t="s">
        <v>41</v>
      </c>
      <c r="B2" s="12" t="s">
        <v>42</v>
      </c>
      <c r="C2" s="13">
        <v>23818</v>
      </c>
      <c r="D2" s="14">
        <v>91154</v>
      </c>
      <c r="E2" s="13">
        <v>17880</v>
      </c>
      <c r="F2" s="15">
        <v>14900</v>
      </c>
      <c r="G2" s="15">
        <v>32780</v>
      </c>
      <c r="H2" s="13">
        <v>58374</v>
      </c>
      <c r="I2" s="13">
        <v>11988</v>
      </c>
      <c r="J2" s="13">
        <v>14635</v>
      </c>
      <c r="K2" s="13">
        <v>4563</v>
      </c>
      <c r="L2" s="13">
        <v>1110</v>
      </c>
      <c r="M2" s="16">
        <v>26078</v>
      </c>
      <c r="N2" s="17">
        <v>-439</v>
      </c>
      <c r="O2" s="13">
        <v>25639</v>
      </c>
      <c r="P2" s="15">
        <v>5100</v>
      </c>
      <c r="Q2" s="18" t="s">
        <v>43</v>
      </c>
      <c r="R2" s="19" t="s">
        <v>44</v>
      </c>
      <c r="S2" s="19" t="s">
        <v>45</v>
      </c>
    </row>
    <row r="3" spans="1:19" ht="15.6" thickBot="1" x14ac:dyDescent="0.4">
      <c r="A3" s="9" t="s">
        <v>46</v>
      </c>
      <c r="B3" s="12" t="s">
        <v>47</v>
      </c>
      <c r="C3" s="13">
        <v>32760</v>
      </c>
      <c r="D3" s="14">
        <v>96571</v>
      </c>
      <c r="E3" s="13">
        <v>15175</v>
      </c>
      <c r="F3" s="15">
        <v>19086</v>
      </c>
      <c r="G3" s="15">
        <v>34261</v>
      </c>
      <c r="H3" s="13">
        <v>62310</v>
      </c>
      <c r="I3" s="13">
        <v>13037</v>
      </c>
      <c r="J3" s="13">
        <v>15461</v>
      </c>
      <c r="K3" s="13">
        <v>4481</v>
      </c>
      <c r="L3" s="19">
        <v>306</v>
      </c>
      <c r="M3" s="16">
        <v>29025</v>
      </c>
      <c r="N3" s="17">
        <v>876</v>
      </c>
      <c r="O3" s="13">
        <v>29901</v>
      </c>
      <c r="P3" s="15">
        <v>4412</v>
      </c>
      <c r="Q3" s="18" t="s">
        <v>48</v>
      </c>
      <c r="R3" s="19" t="s">
        <v>49</v>
      </c>
      <c r="S3" s="19" t="s">
        <v>50</v>
      </c>
    </row>
    <row r="4" spans="1:19" ht="15.6" thickBot="1" x14ac:dyDescent="0.4">
      <c r="A4" s="9" t="s">
        <v>51</v>
      </c>
      <c r="B4" s="12" t="s">
        <v>52</v>
      </c>
      <c r="C4" s="13">
        <v>45863</v>
      </c>
      <c r="D4" s="14">
        <v>110360</v>
      </c>
      <c r="E4" s="13">
        <v>15420</v>
      </c>
      <c r="F4" s="15">
        <v>22933</v>
      </c>
      <c r="G4" s="15">
        <v>38353</v>
      </c>
      <c r="H4" s="13">
        <v>72007</v>
      </c>
      <c r="I4" s="13">
        <v>14726</v>
      </c>
      <c r="J4" s="13">
        <v>17469</v>
      </c>
      <c r="K4" s="13">
        <v>4754</v>
      </c>
      <c r="L4" s="19">
        <v>0</v>
      </c>
      <c r="M4" s="16">
        <v>35058</v>
      </c>
      <c r="N4" s="15">
        <v>1416</v>
      </c>
      <c r="O4" s="13">
        <v>36474</v>
      </c>
      <c r="P4" s="15">
        <v>19903</v>
      </c>
      <c r="Q4" s="18" t="s">
        <v>53</v>
      </c>
      <c r="R4" s="19" t="s">
        <v>54</v>
      </c>
      <c r="S4" s="19" t="s">
        <v>55</v>
      </c>
    </row>
    <row r="5" spans="1:19" ht="15.6" thickBot="1" x14ac:dyDescent="0.4">
      <c r="A5" s="9" t="s">
        <v>56</v>
      </c>
      <c r="B5" s="12" t="s">
        <v>57</v>
      </c>
      <c r="C5" s="13">
        <v>59774</v>
      </c>
      <c r="D5" s="14">
        <v>125843</v>
      </c>
      <c r="E5" s="13">
        <v>16273</v>
      </c>
      <c r="F5" s="15">
        <v>26637</v>
      </c>
      <c r="G5" s="15">
        <v>42910</v>
      </c>
      <c r="H5" s="13">
        <v>82933</v>
      </c>
      <c r="I5" s="13">
        <v>16876</v>
      </c>
      <c r="J5" s="13">
        <v>18213</v>
      </c>
      <c r="K5" s="13">
        <v>4885</v>
      </c>
      <c r="L5" s="19">
        <v>0</v>
      </c>
      <c r="M5" s="16">
        <v>42959</v>
      </c>
      <c r="N5" s="17">
        <v>729</v>
      </c>
      <c r="O5" s="13">
        <v>43688</v>
      </c>
      <c r="P5" s="15">
        <v>4448</v>
      </c>
      <c r="Q5" s="18" t="s">
        <v>58</v>
      </c>
      <c r="R5" s="19" t="s">
        <v>59</v>
      </c>
      <c r="S5" s="19" t="s">
        <v>60</v>
      </c>
    </row>
    <row r="6" spans="1:19" ht="15.6" thickBot="1" x14ac:dyDescent="0.4">
      <c r="A6" s="9" t="s">
        <v>61</v>
      </c>
      <c r="B6" s="12" t="s">
        <v>62</v>
      </c>
      <c r="C6" s="13">
        <v>74974</v>
      </c>
      <c r="D6" s="14">
        <v>143015</v>
      </c>
      <c r="E6" s="13">
        <v>16017</v>
      </c>
      <c r="F6" s="15">
        <v>30061</v>
      </c>
      <c r="G6" s="15">
        <v>46078</v>
      </c>
      <c r="H6" s="13">
        <v>96937</v>
      </c>
      <c r="I6" s="13">
        <v>19269</v>
      </c>
      <c r="J6" s="13">
        <v>19598</v>
      </c>
      <c r="K6" s="13">
        <v>5111</v>
      </c>
      <c r="L6" s="19">
        <v>0</v>
      </c>
      <c r="M6" s="16">
        <v>52959</v>
      </c>
      <c r="N6" s="17">
        <v>77</v>
      </c>
      <c r="O6" s="13">
        <v>53036</v>
      </c>
      <c r="P6" s="15">
        <v>8755</v>
      </c>
      <c r="Q6" s="18" t="s">
        <v>63</v>
      </c>
      <c r="R6" s="19" t="s">
        <v>64</v>
      </c>
      <c r="S6" s="19" t="s">
        <v>65</v>
      </c>
    </row>
    <row r="7" spans="1:19" ht="15.6" thickBot="1" x14ac:dyDescent="0.4">
      <c r="A7" s="9" t="s">
        <v>66</v>
      </c>
      <c r="B7" s="12" t="s">
        <v>67</v>
      </c>
      <c r="C7" s="13">
        <v>97014</v>
      </c>
      <c r="D7" s="14">
        <v>168088</v>
      </c>
      <c r="E7" s="13">
        <v>18219</v>
      </c>
      <c r="F7" s="15">
        <v>34013</v>
      </c>
      <c r="G7" s="15">
        <v>52232</v>
      </c>
      <c r="H7" s="13">
        <v>115856</v>
      </c>
      <c r="I7" s="13">
        <v>20716</v>
      </c>
      <c r="J7" s="13">
        <v>20117</v>
      </c>
      <c r="K7" s="13">
        <v>5107</v>
      </c>
      <c r="L7" s="19">
        <v>0</v>
      </c>
      <c r="M7" s="16">
        <v>69916</v>
      </c>
      <c r="N7" s="15">
        <v>1186</v>
      </c>
      <c r="O7" s="13">
        <v>71102</v>
      </c>
      <c r="P7" s="15">
        <v>9831</v>
      </c>
      <c r="Q7" s="18" t="s">
        <v>68</v>
      </c>
      <c r="R7" s="19" t="s">
        <v>69</v>
      </c>
      <c r="S7" s="19" t="s">
        <v>70</v>
      </c>
    </row>
    <row r="8" spans="1:19" ht="15.6" thickBot="1" x14ac:dyDescent="0.4">
      <c r="A8" s="9" t="s">
        <v>71</v>
      </c>
      <c r="B8" s="12" t="s">
        <v>72</v>
      </c>
      <c r="C8" s="13">
        <v>125538</v>
      </c>
      <c r="D8" s="14">
        <v>198270</v>
      </c>
      <c r="E8" s="13">
        <v>19064</v>
      </c>
      <c r="F8" s="15">
        <v>43586</v>
      </c>
      <c r="G8" s="15">
        <v>62650</v>
      </c>
      <c r="H8" s="13">
        <v>135620</v>
      </c>
      <c r="I8" s="13">
        <v>24512</v>
      </c>
      <c r="J8" s="13">
        <v>21825</v>
      </c>
      <c r="K8" s="13">
        <v>5900</v>
      </c>
      <c r="L8" s="19">
        <v>0</v>
      </c>
      <c r="M8" s="16">
        <v>83383</v>
      </c>
      <c r="N8" s="17">
        <v>333</v>
      </c>
      <c r="O8" s="13">
        <v>83716</v>
      </c>
      <c r="P8" s="15">
        <v>10978</v>
      </c>
      <c r="Q8" s="18" t="s">
        <v>73</v>
      </c>
      <c r="R8" s="19" t="s">
        <v>74</v>
      </c>
      <c r="S8" s="19" t="s">
        <v>75</v>
      </c>
    </row>
    <row r="9" spans="1:19" ht="15.6" thickBot="1" x14ac:dyDescent="0.4">
      <c r="A9" s="9" t="s">
        <v>76</v>
      </c>
      <c r="B9" s="12" t="s">
        <v>77</v>
      </c>
      <c r="C9" s="13">
        <v>147216</v>
      </c>
      <c r="D9" s="14">
        <v>211915</v>
      </c>
      <c r="E9" s="13">
        <v>17804</v>
      </c>
      <c r="F9" s="15">
        <v>48059</v>
      </c>
      <c r="G9" s="15">
        <v>65863</v>
      </c>
      <c r="H9" s="13">
        <v>146052</v>
      </c>
      <c r="I9" s="13">
        <v>27195</v>
      </c>
      <c r="J9" s="13">
        <v>22759</v>
      </c>
      <c r="K9" s="13">
        <v>7575</v>
      </c>
      <c r="L9" s="19">
        <v>0</v>
      </c>
      <c r="M9" s="16">
        <v>88523</v>
      </c>
      <c r="N9" s="17">
        <v>788</v>
      </c>
      <c r="O9" s="13">
        <v>89311</v>
      </c>
      <c r="P9" s="15">
        <v>16950</v>
      </c>
      <c r="Q9" s="18" t="s">
        <v>78</v>
      </c>
      <c r="R9" s="19" t="s">
        <v>79</v>
      </c>
      <c r="S9" s="19" t="s">
        <v>80</v>
      </c>
    </row>
    <row r="10" spans="1:19" ht="15.6" thickBot="1" x14ac:dyDescent="0.4">
      <c r="A10" s="9" t="s">
        <v>81</v>
      </c>
      <c r="B10" s="12" t="s">
        <v>82</v>
      </c>
      <c r="C10" s="13">
        <v>180349</v>
      </c>
      <c r="D10" s="14">
        <v>245122</v>
      </c>
      <c r="E10" s="13">
        <v>15272</v>
      </c>
      <c r="F10" s="15">
        <v>58842</v>
      </c>
      <c r="G10" s="15">
        <v>74114</v>
      </c>
      <c r="H10" s="13">
        <v>171008</v>
      </c>
      <c r="I10" s="13">
        <v>29510</v>
      </c>
      <c r="J10" s="13">
        <v>24456</v>
      </c>
      <c r="K10" s="13">
        <v>7609</v>
      </c>
      <c r="L10" s="19">
        <v>0</v>
      </c>
      <c r="M10" s="16">
        <v>109433</v>
      </c>
      <c r="N10" s="15">
        <v>-1646</v>
      </c>
      <c r="O10" s="13">
        <v>107787</v>
      </c>
      <c r="P10" s="15">
        <v>19651</v>
      </c>
      <c r="Q10" s="18" t="s">
        <v>83</v>
      </c>
      <c r="R10" s="19" t="s">
        <v>84</v>
      </c>
      <c r="S10" s="19" t="s">
        <v>85</v>
      </c>
    </row>
    <row r="11" spans="1:19" ht="15.6" thickBot="1" x14ac:dyDescent="0.4">
      <c r="A11" s="9" t="s">
        <v>86</v>
      </c>
      <c r="B11" s="12" t="s">
        <v>87</v>
      </c>
      <c r="C11" s="13">
        <v>217778</v>
      </c>
      <c r="D11" s="14">
        <v>281724</v>
      </c>
      <c r="E11" s="13">
        <v>13501</v>
      </c>
      <c r="F11" s="15">
        <v>74330</v>
      </c>
      <c r="G11" s="15">
        <v>87831</v>
      </c>
      <c r="H11" s="13">
        <v>193893</v>
      </c>
      <c r="I11" s="13">
        <v>32488</v>
      </c>
      <c r="J11" s="13">
        <v>25654</v>
      </c>
      <c r="K11" s="13">
        <v>7223</v>
      </c>
      <c r="L11" s="19">
        <v>0</v>
      </c>
      <c r="M11" s="16">
        <v>128528</v>
      </c>
      <c r="N11" s="15">
        <v>-4901</v>
      </c>
      <c r="O11" s="13">
        <v>123627</v>
      </c>
      <c r="P11" s="15">
        <v>21795</v>
      </c>
      <c r="Q11" s="18" t="s">
        <v>88</v>
      </c>
      <c r="R11" s="19" t="s">
        <v>89</v>
      </c>
      <c r="S11" s="1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Quaterly Data</vt:lpstr>
      <vt:lpstr>Segment Data</vt:lpstr>
      <vt:lpstr>Annual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Kummari</dc:creator>
  <cp:lastModifiedBy>Tharun Kummari</cp:lastModifiedBy>
  <dcterms:created xsi:type="dcterms:W3CDTF">2026-01-10T19:16:38Z</dcterms:created>
  <dcterms:modified xsi:type="dcterms:W3CDTF">2026-01-10T20:31:39Z</dcterms:modified>
</cp:coreProperties>
</file>